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s" sheetId="1" state="visible" r:id="rId3"/>
    <sheet name="Dashboard" sheetId="2" state="visible" r:id="rId4"/>
    <sheet name="Gu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<sst xmlns="http://schemas.openxmlformats.org/spreadsheetml/2006/main" count="51" uniqueCount="47">
  <si>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Fecha</t>
  </si>
  <si>
    <t xml:space="preserve">Setup</t>
  </si>
  <si>
    <t xml:space="preserve">Régimen</t>
  </si>
  <si>
    <t xml:space="preserve">Dirección</t>
  </si>
  <si>
    <t xml:space="preserve">Contexto OI/Funding</t>
  </si>
  <si>
    <t xml:space="preserve">Entrada</t>
  </si>
  <si>
    <t xml:space="preserve">Stop</t>
  </si>
  <si>
    <t xml:space="preserve">Salida final</t>
  </si>
  <si>
    <t xml:space="preserve">Posición ($)</t>
  </si>
  <si>
    <t xml:space="preserve">Riesgo plan ($)</t>
  </si>
  <si>
    <t xml:space="preserve">P&amp;L ($)</t>
  </si>
  <si>
    <t xml:space="preserve">R obtenido</t>
  </si>
  <si>
    <t xml:space="preserve">¿Respetó reglas?</t>
  </si>
  <si>
    <t xml:space="preserve">Calificación</t>
  </si>
  <si>
    <t xml:space="preserve">Notas</t>
  </si>
  <si>
    <t xml:space="preserve">DASHBOARD — MÉTRICAS DE PROCESO</t>
  </si>
  <si>
    <t xml:space="preserve">Trades totales</t>
  </si>
  <si>
    <t xml:space="preserve">Win rate</t>
  </si>
  <si>
    <t xml:space="preserve">R promedio</t>
  </si>
  <si>
    <t xml:space="preserve">R acumulado</t>
  </si>
  <si>
    <t xml:space="preserve">P&amp;L total ($)</t>
  </si>
  <si>
    <t xml:space="preserve">% dentro del playbook</t>
  </si>
  <si>
    <t xml:space="preserve">% reglas respetadas</t>
  </si>
  <si>
    <t xml:space="preserve">Mejor R</t>
  </si>
  <si>
    <t xml:space="preserve">Peor R</t>
  </si>
  <si>
    <t xml:space="preserve">POR SETUP</t>
  </si>
  <si>
    <t xml:space="preserve">Trades</t>
  </si>
  <si>
    <t xml:space="preserve">L1</t>
  </si>
  <si>
    <t xml:space="preserve">L2</t>
  </si>
  <si>
    <t xml:space="preserve">S1</t>
  </si>
  <si>
    <t xml:space="preserve">S2</t>
  </si>
  <si>
    <t xml:space="preserve">FUERA DE PLAYBOOK</t>
  </si>
  <si>
    <t xml:space="preserve">CÓMO USAR ESTE JOURNAL</t>
  </si>
  <si>
    <t xml:space="preserve">1.</t>
  </si>
  <si>
    <t xml:space="preserve">Registrá CADA trade, incluso los que salen mal. Especialmente los que salen mal.</t>
  </si>
  <si>
    <t xml:space="preserve">2.</t>
  </si>
  <si>
    <t xml:space="preserve">Columnas azules = las llenás vos. Columnas negras (P&amp;L y R) = se calculan solas.</t>
  </si>
  <si>
    <t xml:space="preserve">3.</t>
  </si>
  <si>
    <t xml:space="preserve">Setup 'FUERA DE PLAYBOOK' existe a propósito: registrá también los impulsos. El Dashboard te va a mostrar cuánto te cuestan.</t>
  </si>
  <si>
    <t xml:space="preserve">4.</t>
  </si>
  <si>
    <t xml:space="preserve">Calificación A/B/C/F es por CALIDAD DE EJECUCIÓN, no por resultado. Un perdedor bien ejecutado es una A. Un ganador fuera del plan es una F.</t>
  </si>
  <si>
    <t xml:space="preserve">5.</t>
  </si>
  <si>
    <t xml:space="preserve">Contexto OI/Funding: anotá qué viste en Coinglass al entrar (ej: 'OI cayendo, funding -0.01%, spike liq longs').</t>
  </si>
  <si>
    <t xml:space="preserve">6.</t>
  </si>
  <si>
    <t xml:space="preserve">Riesgo plan ($) debería ser siempre ≈$50 (1% de $5,000). Si no lo es, la columna '¿Respetó reglas?' es No.</t>
  </si>
  <si>
    <t xml:space="preserve">OBJETIVO MENSUAL</t>
  </si>
  <si>
    <t xml:space="preserve">No es un monto en $. Es: 0 violaciones de reglas, ≥90% de trades dentro del playbook, journal completo.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</si>
</sst>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\$#,##0.00"/>
    <numFmt numFmtId="167" formatCode="\$#,##0.00;&quot;($&quot;#,##0.00\);\-"/>
    <numFmt numFmtId="168" formatCode="0.00;\(0.00\);\-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8"/>
    <col collapsed="false" customWidth="true" hidden="false" outlineLevel="0" max="11" min="6" style="0" width="11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4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/>
      <c r="B2" s="3"/>
      <c r="C2" s="3"/>
      <c r="D2" s="3"/>
      <c r="E2" s="3"/>
      <c r="F2" s="4"/>
      <c r="G2" s="4"/>
      <c r="H2" s="4"/>
      <c r="I2" s="4"/>
      <c r="J2" s="4"/>
      <c r="K2" s="5" t="str">
        <f aca="false">IF(OR(F2="",H2="",I2=""),"",IF(D2="Long",(H2-F2)/F2*I2,(F2-H2)/F2*I2))</f>
        <v/>
      </c>
      <c r="L2" s="6" t="str">
        <f aca="false">IF(OR(K2="",J2="",J2=0),"",K2/J2)</f>
        <v/>
      </c>
      <c r="M2" s="3"/>
      <c r="N2" s="3"/>
      <c r="O2" s="3"/>
    </row>
    <row r="3" customFormat="false" ht="15" hidden="false" customHeight="false" outlineLevel="0" collapsed="false">
      <c r="A3" s="2"/>
      <c r="B3" s="3"/>
      <c r="C3" s="3"/>
      <c r="D3" s="3"/>
      <c r="E3" s="3"/>
      <c r="F3" s="4"/>
      <c r="G3" s="4"/>
      <c r="H3" s="4"/>
      <c r="I3" s="4"/>
      <c r="J3" s="4"/>
      <c r="K3" s="5" t="str">
        <f aca="false">IF(OR(F3="",H3="",I3=""),"",IF(D3="Long",(H3-F3)/F3*I3,(F3-H3)/F3*I3))</f>
        <v/>
      </c>
      <c r="L3" s="6" t="str">
        <f aca="false">IF(OR(K3="",J3="",J3=0),"",K3/J3)</f>
        <v/>
      </c>
      <c r="M3" s="3"/>
      <c r="N3" s="3"/>
      <c r="O3" s="3"/>
    </row>
    <row r="4" customFormat="false" ht="15" hidden="false" customHeight="false" outlineLevel="0" collapsed="false">
      <c r="A4" s="2"/>
      <c r="B4" s="3"/>
      <c r="C4" s="3"/>
      <c r="D4" s="3"/>
      <c r="E4" s="3"/>
      <c r="F4" s="4"/>
      <c r="G4" s="4"/>
      <c r="H4" s="4"/>
      <c r="I4" s="4"/>
      <c r="J4" s="4"/>
      <c r="K4" s="5" t="str">
        <f aca="false">IF(OR(F4="",H4="",I4=""),"",IF(D4="Long",(H4-F4)/F4*I4,(F4-H4)/F4*I4))</f>
        <v/>
      </c>
      <c r="L4" s="6" t="str">
        <f aca="false">IF(OR(K4="",J4="",J4=0),"",K4/J4)</f>
        <v/>
      </c>
      <c r="M4" s="3"/>
      <c r="N4" s="3"/>
      <c r="O4" s="3"/>
    </row>
    <row r="5" customFormat="false" ht="15" hidden="false" customHeight="false" outlineLevel="0" collapsed="false">
      <c r="A5" s="2"/>
      <c r="B5" s="3"/>
      <c r="C5" s="3"/>
      <c r="D5" s="3"/>
      <c r="E5" s="3"/>
      <c r="F5" s="4"/>
      <c r="G5" s="4"/>
      <c r="H5" s="4"/>
      <c r="I5" s="4"/>
      <c r="J5" s="4"/>
      <c r="K5" s="5" t="str">
        <f aca="false">IF(OR(F5="",H5="",I5=""),"",IF(D5="Long",(H5-F5)/F5*I5,(F5-H5)/F5*I5))</f>
        <v/>
      </c>
      <c r="L5" s="6" t="str">
        <f aca="false">IF(OR(K5="",J5="",J5=0),"",K5/J5)</f>
        <v/>
      </c>
      <c r="M5" s="3"/>
      <c r="N5" s="3"/>
      <c r="O5" s="3"/>
    </row>
    <row r="6" customFormat="false" ht="15" hidden="false" customHeight="false" outlineLevel="0" collapsed="false">
      <c r="A6" s="2"/>
      <c r="B6" s="3"/>
      <c r="C6" s="3"/>
      <c r="D6" s="3"/>
      <c r="E6" s="3"/>
      <c r="F6" s="4"/>
      <c r="G6" s="4"/>
      <c r="H6" s="4"/>
      <c r="I6" s="4"/>
      <c r="J6" s="4"/>
      <c r="K6" s="5" t="str">
        <f aca="false">IF(OR(F6="",H6="",I6=""),"",IF(D6="Long",(H6-F6)/F6*I6,(F6-H6)/F6*I6))</f>
        <v/>
      </c>
      <c r="L6" s="6" t="str">
        <f aca="false">IF(OR(K6="",J6="",J6=0),"",K6/J6)</f>
        <v/>
      </c>
      <c r="M6" s="3"/>
      <c r="N6" s="3"/>
      <c r="O6" s="3"/>
    </row>
    <row r="7" customFormat="false" ht="15" hidden="false" customHeight="false" outlineLevel="0" collapsed="false">
      <c r="A7" s="2"/>
      <c r="B7" s="3"/>
      <c r="C7" s="3"/>
      <c r="D7" s="3"/>
      <c r="E7" s="3"/>
      <c r="F7" s="4"/>
      <c r="G7" s="4"/>
      <c r="H7" s="4"/>
      <c r="I7" s="4"/>
      <c r="J7" s="4"/>
      <c r="K7" s="5" t="str">
        <f aca="false">IF(OR(F7="",H7="",I7=""),"",IF(D7="Long",(H7-F7)/F7*I7,(F7-H7)/F7*I7))</f>
        <v/>
      </c>
      <c r="L7" s="6" t="str">
        <f aca="false">IF(OR(K7="",J7="",J7=0),"",K7/J7)</f>
        <v/>
      </c>
      <c r="M7" s="3"/>
      <c r="N7" s="3"/>
      <c r="O7" s="3"/>
    </row>
    <row r="8" customFormat="false" ht="15" hidden="false" customHeight="false" outlineLevel="0" collapsed="false">
      <c r="A8" s="2"/>
      <c r="B8" s="3"/>
      <c r="C8" s="3"/>
      <c r="D8" s="3"/>
      <c r="E8" s="3"/>
      <c r="F8" s="4"/>
      <c r="G8" s="4"/>
      <c r="H8" s="4"/>
      <c r="I8" s="4"/>
      <c r="J8" s="4"/>
      <c r="K8" s="5" t="str">
        <f aca="false">IF(OR(F8="",H8="",I8=""),"",IF(D8="Long",(H8-F8)/F8*I8,(F8-H8)/F8*I8))</f>
        <v/>
      </c>
      <c r="L8" s="6" t="str">
        <f aca="false">IF(OR(K8="",J8="",J8=0),"",K8/J8)</f>
        <v/>
      </c>
      <c r="M8" s="3"/>
      <c r="N8" s="3"/>
      <c r="O8" s="3"/>
    </row>
    <row r="9" customFormat="false" ht="15" hidden="false" customHeight="false" outlineLevel="0" collapsed="false">
      <c r="A9" s="2"/>
      <c r="B9" s="3"/>
      <c r="C9" s="3"/>
      <c r="D9" s="3"/>
      <c r="E9" s="3"/>
      <c r="F9" s="4"/>
      <c r="G9" s="4"/>
      <c r="H9" s="4"/>
      <c r="I9" s="4"/>
      <c r="J9" s="4"/>
      <c r="K9" s="5" t="str">
        <f aca="false">IF(OR(F9="",H9="",I9=""),"",IF(D9="Long",(H9-F9)/F9*I9,(F9-H9)/F9*I9))</f>
        <v/>
      </c>
      <c r="L9" s="6" t="str">
        <f aca="false">IF(OR(K9="",J9="",J9=0),"",K9/J9)</f>
        <v/>
      </c>
      <c r="M9" s="3"/>
      <c r="N9" s="3"/>
      <c r="O9" s="3"/>
    </row>
    <row r="10" customFormat="false" ht="15" hidden="false" customHeight="false" outlineLevel="0" collapsed="false">
      <c r="A10" s="2"/>
      <c r="B10" s="3"/>
      <c r="C10" s="3"/>
      <c r="D10" s="3"/>
      <c r="E10" s="3"/>
      <c r="F10" s="4"/>
      <c r="G10" s="4"/>
      <c r="H10" s="4"/>
      <c r="I10" s="4"/>
      <c r="J10" s="4"/>
      <c r="K10" s="5" t="str">
        <f aca="false">IF(OR(F10="",H10="",I10=""),"",IF(D10="Long",(H10-F10)/F10*I10,(F10-H10)/F10*I10))</f>
        <v/>
      </c>
      <c r="L10" s="6" t="str">
        <f aca="false">IF(OR(K10="",J10="",J10=0),"",K10/J10)</f>
        <v/>
      </c>
      <c r="M10" s="3"/>
      <c r="N10" s="3"/>
      <c r="O10" s="3"/>
    </row>
    <row r="11" customFormat="false" ht="15" hidden="false" customHeight="false" outlineLevel="0" collapsed="false">
      <c r="A11" s="2"/>
      <c r="B11" s="3"/>
      <c r="C11" s="3"/>
      <c r="D11" s="3"/>
      <c r="E11" s="3"/>
      <c r="F11" s="4"/>
      <c r="G11" s="4"/>
      <c r="H11" s="4"/>
      <c r="I11" s="4"/>
      <c r="J11" s="4"/>
      <c r="K11" s="5" t="str">
        <f aca="false">IF(OR(F11="",H11="",I11=""),"",IF(D11="Long",(H11-F11)/F11*I11,(F11-H11)/F11*I11))</f>
        <v/>
      </c>
      <c r="L11" s="6" t="str">
        <f aca="false">IF(OR(K11="",J11="",J11=0),"",K11/J11)</f>
        <v/>
      </c>
      <c r="M11" s="3"/>
      <c r="N11" s="3"/>
      <c r="O11" s="3"/>
    </row>
    <row r="12" customFormat="false" ht="15" hidden="false" customHeight="false" outlineLevel="0" collapsed="false">
      <c r="A12" s="2"/>
      <c r="B12" s="3"/>
      <c r="C12" s="3"/>
      <c r="D12" s="3"/>
      <c r="E12" s="3"/>
      <c r="F12" s="4"/>
      <c r="G12" s="4"/>
      <c r="H12" s="4"/>
      <c r="I12" s="4"/>
      <c r="J12" s="4"/>
      <c r="K12" s="5" t="str">
        <f aca="false">IF(OR(F12="",H12="",I12=""),"",IF(D12="Long",(H12-F12)/F12*I12,(F12-H12)/F12*I12))</f>
        <v/>
      </c>
      <c r="L12" s="6" t="str">
        <f aca="false">IF(OR(K12="",J12="",J12=0),"",K12/J12)</f>
        <v/>
      </c>
      <c r="M12" s="3"/>
      <c r="N12" s="3"/>
      <c r="O12" s="3"/>
    </row>
    <row r="13" customFormat="false" ht="15" hidden="false" customHeight="false" outlineLevel="0" collapsed="false">
      <c r="A13" s="2"/>
      <c r="B13" s="3"/>
      <c r="C13" s="3"/>
      <c r="D13" s="3"/>
      <c r="E13" s="3"/>
      <c r="F13" s="4"/>
      <c r="G13" s="4"/>
      <c r="H13" s="4"/>
      <c r="I13" s="4"/>
      <c r="J13" s="4"/>
      <c r="K13" s="5" t="str">
        <f aca="false">IF(OR(F13="",H13="",I13=""),"",IF(D13="Long",(H13-F13)/F13*I13,(F13-H13)/F13*I13))</f>
        <v/>
      </c>
      <c r="L13" s="6" t="str">
        <f aca="false">IF(OR(K13="",J13="",J13=0),"",K13/J13)</f>
        <v/>
      </c>
      <c r="M13" s="3"/>
      <c r="N13" s="3"/>
      <c r="O13" s="3"/>
    </row>
    <row r="14" customFormat="false" ht="15" hidden="false" customHeight="false" outlineLevel="0" collapsed="false">
      <c r="A14" s="2"/>
      <c r="B14" s="3"/>
      <c r="C14" s="3"/>
      <c r="D14" s="3"/>
      <c r="E14" s="3"/>
      <c r="F14" s="4"/>
      <c r="G14" s="4"/>
      <c r="H14" s="4"/>
      <c r="I14" s="4"/>
      <c r="J14" s="4"/>
      <c r="K14" s="5" t="str">
        <f aca="false">IF(OR(F14="",H14="",I14=""),"",IF(D14="Long",(H14-F14)/F14*I14,(F14-H14)/F14*I14))</f>
        <v/>
      </c>
      <c r="L14" s="6" t="str">
        <f aca="false">IF(OR(K14="",J14="",J14=0),"",K14/J14)</f>
        <v/>
      </c>
      <c r="M14" s="3"/>
      <c r="N14" s="3"/>
      <c r="O14" s="3"/>
    </row>
    <row r="15" customFormat="false" ht="15" hidden="false" customHeight="false" outlineLevel="0" collapsed="false">
      <c r="A15" s="2"/>
      <c r="B15" s="3"/>
      <c r="C15" s="3"/>
      <c r="D15" s="3"/>
      <c r="E15" s="3"/>
      <c r="F15" s="4"/>
      <c r="G15" s="4"/>
      <c r="H15" s="4"/>
      <c r="I15" s="4"/>
      <c r="J15" s="4"/>
      <c r="K15" s="5" t="str">
        <f aca="false">IF(OR(F15="",H15="",I15=""),"",IF(D15="Long",(H15-F15)/F15*I15,(F15-H15)/F15*I15))</f>
        <v/>
      </c>
      <c r="L15" s="6" t="str">
        <f aca="false">IF(OR(K15="",J15="",J15=0),"",K15/J15)</f>
        <v/>
      </c>
      <c r="M15" s="3"/>
      <c r="N15" s="3"/>
      <c r="O15" s="3"/>
    </row>
    <row r="16" customFormat="false" ht="15" hidden="false" customHeight="false" outlineLevel="0" collapsed="false">
      <c r="A16" s="2"/>
      <c r="B16" s="3"/>
      <c r="C16" s="3"/>
      <c r="D16" s="3"/>
      <c r="E16" s="3"/>
      <c r="F16" s="4"/>
      <c r="G16" s="4"/>
      <c r="H16" s="4"/>
      <c r="I16" s="4"/>
      <c r="J16" s="4"/>
      <c r="K16" s="5" t="str">
        <f aca="false">IF(OR(F16="",H16="",I16=""),"",IF(D16="Long",(H16-F16)/F16*I16,(F16-H16)/F16*I16))</f>
        <v/>
      </c>
      <c r="L16" s="6" t="str">
        <f aca="false">IF(OR(K16="",J16="",J16=0),"",K16/J16)</f>
        <v/>
      </c>
      <c r="M16" s="3"/>
      <c r="N16" s="3"/>
      <c r="O16" s="3"/>
    </row>
    <row r="17" customFormat="false" ht="15" hidden="false" customHeight="false" outlineLevel="0" collapsed="false">
      <c r="A17" s="2"/>
      <c r="B17" s="3"/>
      <c r="C17" s="3"/>
      <c r="D17" s="3"/>
      <c r="E17" s="3"/>
      <c r="F17" s="4"/>
      <c r="G17" s="4"/>
      <c r="H17" s="4"/>
      <c r="I17" s="4"/>
      <c r="J17" s="4"/>
      <c r="K17" s="5" t="str">
        <f aca="false">IF(OR(F17="",H17="",I17=""),"",IF(D17="Long",(H17-F17)/F17*I17,(F17-H17)/F17*I17))</f>
        <v/>
      </c>
      <c r="L17" s="6" t="str">
        <f aca="false">IF(OR(K17="",J17="",J17=0),"",K17/J17)</f>
        <v/>
      </c>
      <c r="M17" s="3"/>
      <c r="N17" s="3"/>
      <c r="O17" s="3"/>
    </row>
    <row r="18" customFormat="false" ht="15" hidden="false" customHeight="false" outlineLevel="0" collapsed="false">
      <c r="A18" s="2"/>
      <c r="B18" s="3"/>
      <c r="C18" s="3"/>
      <c r="D18" s="3"/>
      <c r="E18" s="3"/>
      <c r="F18" s="4"/>
      <c r="G18" s="4"/>
      <c r="H18" s="4"/>
      <c r="I18" s="4"/>
      <c r="J18" s="4"/>
      <c r="K18" s="5" t="str">
        <f aca="false">IF(OR(F18="",H18="",I18=""),"",IF(D18="Long",(H18-F18)/F18*I18,(F18-H18)/F18*I18))</f>
        <v/>
      </c>
      <c r="L18" s="6" t="str">
        <f aca="false">IF(OR(K18="",J18="",J18=0),"",K18/J18)</f>
        <v/>
      </c>
      <c r="M18" s="3"/>
      <c r="N18" s="3"/>
      <c r="O18" s="3"/>
    </row>
    <row r="19" customFormat="false" ht="15" hidden="false" customHeight="false" outlineLevel="0" collapsed="false">
      <c r="A19" s="2"/>
      <c r="B19" s="3"/>
      <c r="C19" s="3"/>
      <c r="D19" s="3"/>
      <c r="E19" s="3"/>
      <c r="F19" s="4"/>
      <c r="G19" s="4"/>
      <c r="H19" s="4"/>
      <c r="I19" s="4"/>
      <c r="J19" s="4"/>
      <c r="K19" s="5" t="str">
        <f aca="false">IF(OR(F19="",H19="",I19=""),"",IF(D19="Long",(H19-F19)/F19*I19,(F19-H19)/F19*I19))</f>
        <v/>
      </c>
      <c r="L19" s="6" t="str">
        <f aca="false">IF(OR(K19="",J19="",J19=0),"",K19/J19)</f>
        <v/>
      </c>
      <c r="M19" s="3"/>
      <c r="N19" s="3"/>
      <c r="O19" s="3"/>
    </row>
    <row r="20" customFormat="false" ht="15" hidden="false" customHeight="false" outlineLevel="0" collapsed="false">
      <c r="A20" s="2"/>
      <c r="B20" s="3"/>
      <c r="C20" s="3"/>
      <c r="D20" s="3"/>
      <c r="E20" s="3"/>
      <c r="F20" s="4"/>
      <c r="G20" s="4"/>
      <c r="H20" s="4"/>
      <c r="I20" s="4"/>
      <c r="J20" s="4"/>
      <c r="K20" s="5" t="str">
        <f aca="false">IF(OR(F20="",H20="",I20=""),"",IF(D20="Long",(H20-F20)/F20*I20,(F20-H20)/F20*I20))</f>
        <v/>
      </c>
      <c r="L20" s="6" t="str">
        <f aca="false">IF(OR(K20="",J20="",J20=0),"",K20/J20)</f>
        <v/>
      </c>
      <c r="M20" s="3"/>
      <c r="N20" s="3"/>
      <c r="O20" s="3"/>
    </row>
    <row r="21" customFormat="false" ht="15" hidden="false" customHeight="false" outlineLevel="0" collapsed="false">
      <c r="A21" s="2"/>
      <c r="B21" s="3"/>
      <c r="C21" s="3"/>
      <c r="D21" s="3"/>
      <c r="E21" s="3"/>
      <c r="F21" s="4"/>
      <c r="G21" s="4"/>
      <c r="H21" s="4"/>
      <c r="I21" s="4"/>
      <c r="J21" s="4"/>
      <c r="K21" s="5" t="str">
        <f aca="false">IF(OR(F21="",H21="",I21=""),"",IF(D21="Long",(H21-F21)/F21*I21,(F21-H21)/F21*I21))</f>
        <v/>
      </c>
      <c r="L21" s="6" t="str">
        <f aca="false">IF(OR(K21="",J21="",J21=0),"",K21/J21)</f>
        <v/>
      </c>
      <c r="M21" s="3"/>
      <c r="N21" s="3"/>
      <c r="O21" s="3"/>
    </row>
    <row r="22" customFormat="false" ht="15" hidden="false" customHeight="false" outlineLevel="0" collapsed="false">
      <c r="A22" s="2"/>
      <c r="B22" s="3"/>
      <c r="C22" s="3"/>
      <c r="D22" s="3"/>
      <c r="E22" s="3"/>
      <c r="F22" s="4"/>
      <c r="G22" s="4"/>
      <c r="H22" s="4"/>
      <c r="I22" s="4"/>
      <c r="J22" s="4"/>
      <c r="K22" s="5" t="str">
        <f aca="false">IF(OR(F22="",H22="",I22=""),"",IF(D22="Long",(H22-F22)/F22*I22,(F22-H22)/F22*I22))</f>
        <v/>
      </c>
      <c r="L22" s="6" t="str">
        <f aca="false">IF(OR(K22="",J22="",J22=0),"",K22/J22)</f>
        <v/>
      </c>
      <c r="M22" s="3"/>
      <c r="N22" s="3"/>
      <c r="O22" s="3"/>
    </row>
    <row r="23" customFormat="false" ht="15" hidden="false" customHeight="false" outlineLevel="0" collapsed="false">
      <c r="A23" s="2"/>
      <c r="B23" s="3"/>
      <c r="C23" s="3"/>
      <c r="D23" s="3"/>
      <c r="E23" s="3"/>
      <c r="F23" s="4"/>
      <c r="G23" s="4"/>
      <c r="H23" s="4"/>
      <c r="I23" s="4"/>
      <c r="J23" s="4"/>
      <c r="K23" s="5" t="str">
        <f aca="false">IF(OR(F23="",H23="",I23=""),"",IF(D23="Long",(H23-F23)/F23*I23,(F23-H23)/F23*I23))</f>
        <v/>
      </c>
      <c r="L23" s="6" t="str">
        <f aca="false">IF(OR(K23="",J23="",J23=0),"",K23/J23)</f>
        <v/>
      </c>
      <c r="M23" s="3"/>
      <c r="N23" s="3"/>
      <c r="O23" s="3"/>
    </row>
    <row r="24" customFormat="false" ht="15" hidden="false" customHeight="false" outlineLevel="0" collapsed="false">
      <c r="A24" s="2"/>
      <c r="B24" s="3"/>
      <c r="C24" s="3"/>
      <c r="D24" s="3"/>
      <c r="E24" s="3"/>
      <c r="F24" s="4"/>
      <c r="G24" s="4"/>
      <c r="H24" s="4"/>
      <c r="I24" s="4"/>
      <c r="J24" s="4"/>
      <c r="K24" s="5" t="str">
        <f aca="false">IF(OR(F24="",H24="",I24=""),"",IF(D24="Long",(H24-F24)/F24*I24,(F24-H24)/F24*I24))</f>
        <v/>
      </c>
      <c r="L24" s="6" t="str">
        <f aca="false">IF(OR(K24="",J24="",J24=0),"",K24/J24)</f>
        <v/>
      </c>
      <c r="M24" s="3"/>
      <c r="N24" s="3"/>
      <c r="O24" s="3"/>
    </row>
    <row r="25" customFormat="false" ht="15" hidden="false" customHeight="false" outlineLevel="0" collapsed="false">
      <c r="A25" s="2"/>
      <c r="B25" s="3"/>
      <c r="C25" s="3"/>
      <c r="D25" s="3"/>
      <c r="E25" s="3"/>
      <c r="F25" s="4"/>
      <c r="G25" s="4"/>
      <c r="H25" s="4"/>
      <c r="I25" s="4"/>
      <c r="J25" s="4"/>
      <c r="K25" s="5" t="str">
        <f aca="false">IF(OR(F25="",H25="",I25=""),"",IF(D25="Long",(H25-F25)/F25*I25,(F25-H25)/F25*I25))</f>
        <v/>
      </c>
      <c r="L25" s="6" t="str">
        <f aca="false">IF(OR(K25="",J25="",J25=0),"",K25/J25)</f>
        <v/>
      </c>
      <c r="M25" s="3"/>
      <c r="N25" s="3"/>
      <c r="O25" s="3"/>
    </row>
    <row r="26" customFormat="false" ht="15" hidden="false" customHeight="false" outlineLevel="0" collapsed="false">
      <c r="A26" s="2"/>
      <c r="B26" s="3"/>
      <c r="C26" s="3"/>
      <c r="D26" s="3"/>
      <c r="E26" s="3"/>
      <c r="F26" s="4"/>
      <c r="G26" s="4"/>
      <c r="H26" s="4"/>
      <c r="I26" s="4"/>
      <c r="J26" s="4"/>
      <c r="K26" s="5" t="str">
        <f aca="false">IF(OR(F26="",H26="",I26=""),"",IF(D26="Long",(H26-F26)/F26*I26,(F26-H26)/F26*I26))</f>
        <v/>
      </c>
      <c r="L26" s="6" t="str">
        <f aca="false">IF(OR(K26="",J26="",J26=0),"",K26/J26)</f>
        <v/>
      </c>
      <c r="M26" s="3"/>
      <c r="N26" s="3"/>
      <c r="O26" s="3"/>
    </row>
    <row r="27" customFormat="false" ht="15" hidden="false" customHeight="false" outlineLevel="0" collapsed="false">
      <c r="A27" s="2"/>
      <c r="B27" s="3"/>
      <c r="C27" s="3"/>
      <c r="D27" s="3"/>
      <c r="E27" s="3"/>
      <c r="F27" s="4"/>
      <c r="G27" s="4"/>
      <c r="H27" s="4"/>
      <c r="I27" s="4"/>
      <c r="J27" s="4"/>
      <c r="K27" s="5" t="str">
        <f aca="false">IF(OR(F27="",H27="",I27=""),"",IF(D27="Long",(H27-F27)/F27*I27,(F27-H27)/F27*I27))</f>
        <v/>
      </c>
      <c r="L27" s="6" t="str">
        <f aca="false">IF(OR(K27="",J27="",J27=0),"",K27/J27)</f>
        <v/>
      </c>
      <c r="M27" s="3"/>
      <c r="N27" s="3"/>
      <c r="O27" s="3"/>
    </row>
    <row r="28" customFormat="false" ht="15" hidden="false" customHeight="false" outlineLevel="0" collapsed="false">
      <c r="A28" s="2"/>
      <c r="B28" s="3"/>
      <c r="C28" s="3"/>
      <c r="D28" s="3"/>
      <c r="E28" s="3"/>
      <c r="F28" s="4"/>
      <c r="G28" s="4"/>
      <c r="H28" s="4"/>
      <c r="I28" s="4"/>
      <c r="J28" s="4"/>
      <c r="K28" s="5" t="str">
        <f aca="false">IF(OR(F28="",H28="",I28=""),"",IF(D28="Long",(H28-F28)/F28*I28,(F28-H28)/F28*I28))</f>
        <v/>
      </c>
      <c r="L28" s="6" t="str">
        <f aca="false">IF(OR(K28="",J28="",J28=0),"",K28/J28)</f>
        <v/>
      </c>
      <c r="M28" s="3"/>
      <c r="N28" s="3"/>
      <c r="O28" s="3"/>
    </row>
    <row r="29" customFormat="false" ht="15" hidden="false" customHeight="false" outlineLevel="0" collapsed="false">
      <c r="A29" s="2"/>
      <c r="B29" s="3"/>
      <c r="C29" s="3"/>
      <c r="D29" s="3"/>
      <c r="E29" s="3"/>
      <c r="F29" s="4"/>
      <c r="G29" s="4"/>
      <c r="H29" s="4"/>
      <c r="I29" s="4"/>
      <c r="J29" s="4"/>
      <c r="K29" s="5" t="str">
        <f aca="false">IF(OR(F29="",H29="",I29=""),"",IF(D29="Long",(H29-F29)/F29*I29,(F29-H29)/F29*I29))</f>
        <v/>
      </c>
      <c r="L29" s="6" t="str">
        <f aca="false">IF(OR(K29="",J29="",J29=0),"",K29/J29)</f>
        <v/>
      </c>
      <c r="M29" s="3"/>
      <c r="N29" s="3"/>
      <c r="O29" s="3"/>
    </row>
    <row r="30" customFormat="false" ht="15" hidden="false" customHeight="false" outlineLevel="0" collapsed="false">
      <c r="A30" s="2"/>
      <c r="B30" s="3"/>
      <c r="C30" s="3"/>
      <c r="D30" s="3"/>
      <c r="E30" s="3"/>
      <c r="F30" s="4"/>
      <c r="G30" s="4"/>
      <c r="H30" s="4"/>
      <c r="I30" s="4"/>
      <c r="J30" s="4"/>
      <c r="K30" s="5" t="str">
        <f aca="false">IF(OR(F30="",H30="",I30=""),"",IF(D30="Long",(H30-F30)/F30*I30,(F30-H30)/F30*I30))</f>
        <v/>
      </c>
      <c r="L30" s="6" t="str">
        <f aca="false">IF(OR(K30="",J30="",J30=0),"",K30/J30)</f>
        <v/>
      </c>
      <c r="M30" s="3"/>
      <c r="N30" s="3"/>
      <c r="O30" s="3"/>
    </row>
    <row r="31" customFormat="false" ht="15" hidden="false" customHeight="false" outlineLevel="0" collapsed="false">
      <c r="A31" s="2"/>
      <c r="B31" s="3"/>
      <c r="C31" s="3"/>
      <c r="D31" s="3"/>
      <c r="E31" s="3"/>
      <c r="F31" s="4"/>
      <c r="G31" s="4"/>
      <c r="H31" s="4"/>
      <c r="I31" s="4"/>
      <c r="J31" s="4"/>
      <c r="K31" s="5" t="str">
        <f aca="false">IF(OR(F31="",H31="",I31=""),"",IF(D31="Long",(H31-F31)/F31*I31,(F31-H31)/F31*I31))</f>
        <v/>
      </c>
      <c r="L31" s="6" t="str">
        <f aca="false">IF(OR(K31="",J31="",J31=0),"",K31/J31)</f>
        <v/>
      </c>
      <c r="M31" s="3"/>
      <c r="N31" s="3"/>
      <c r="O31" s="3"/>
    </row>
    <row r="32" customFormat="false" ht="15" hidden="false" customHeight="false" outlineLevel="0" collapsed="false">
      <c r="A32" s="2"/>
      <c r="B32" s="3"/>
      <c r="C32" s="3"/>
      <c r="D32" s="3"/>
      <c r="E32" s="3"/>
      <c r="F32" s="4"/>
      <c r="G32" s="4"/>
      <c r="H32" s="4"/>
      <c r="I32" s="4"/>
      <c r="J32" s="4"/>
      <c r="K32" s="5" t="str">
        <f aca="false">IF(OR(F32="",H32="",I32=""),"",IF(D32="Long",(H32-F32)/F32*I32,(F32-H32)/F32*I32))</f>
        <v/>
      </c>
      <c r="L32" s="6" t="str">
        <f aca="false">IF(OR(K32="",J32="",J32=0),"",K32/J32)</f>
        <v/>
      </c>
      <c r="M32" s="3"/>
      <c r="N32" s="3"/>
      <c r="O32" s="3"/>
    </row>
    <row r="33" customFormat="false" ht="15" hidden="false" customHeight="false" outlineLevel="0" collapsed="false">
      <c r="A33" s="2"/>
      <c r="B33" s="3"/>
      <c r="C33" s="3"/>
      <c r="D33" s="3"/>
      <c r="E33" s="3"/>
      <c r="F33" s="4"/>
      <c r="G33" s="4"/>
      <c r="H33" s="4"/>
      <c r="I33" s="4"/>
      <c r="J33" s="4"/>
      <c r="K33" s="5" t="str">
        <f aca="false">IF(OR(F33="",H33="",I33=""),"",IF(D33="Long",(H33-F33)/F33*I33,(F33-H33)/F33*I33))</f>
        <v/>
      </c>
      <c r="L33" s="6" t="str">
        <f aca="false">IF(OR(K33="",J33="",J33=0),"",K33/J33)</f>
        <v/>
      </c>
      <c r="M33" s="3"/>
      <c r="N33" s="3"/>
      <c r="O33" s="3"/>
    </row>
    <row r="34" customFormat="false" ht="15" hidden="false" customHeight="false" outlineLevel="0" collapsed="false">
      <c r="A34" s="2"/>
      <c r="B34" s="3"/>
      <c r="C34" s="3"/>
      <c r="D34" s="3"/>
      <c r="E34" s="3"/>
      <c r="F34" s="4"/>
      <c r="G34" s="4"/>
      <c r="H34" s="4"/>
      <c r="I34" s="4"/>
      <c r="J34" s="4"/>
      <c r="K34" s="5" t="str">
        <f aca="false">IF(OR(F34="",H34="",I34=""),"",IF(D34="Long",(H34-F34)/F34*I34,(F34-H34)/F34*I34))</f>
        <v/>
      </c>
      <c r="L34" s="6" t="str">
        <f aca="false">IF(OR(K34="",J34="",J34=0),"",K34/J34)</f>
        <v/>
      </c>
      <c r="M34" s="3"/>
      <c r="N34" s="3"/>
      <c r="O34" s="3"/>
    </row>
    <row r="35" customFormat="false" ht="15" hidden="false" customHeight="false" outlineLevel="0" collapsed="false">
      <c r="A35" s="2"/>
      <c r="B35" s="3"/>
      <c r="C35" s="3"/>
      <c r="D35" s="3"/>
      <c r="E35" s="3"/>
      <c r="F35" s="4"/>
      <c r="G35" s="4"/>
      <c r="H35" s="4"/>
      <c r="I35" s="4"/>
      <c r="J35" s="4"/>
      <c r="K35" s="5" t="str">
        <f aca="false">IF(OR(F35="",H35="",I35=""),"",IF(D35="Long",(H35-F35)/F35*I35,(F35-H35)/F35*I35))</f>
        <v/>
      </c>
      <c r="L35" s="6" t="str">
        <f aca="false">IF(OR(K35="",J35="",J35=0),"",K35/J35)</f>
        <v/>
      </c>
      <c r="M35" s="3"/>
      <c r="N35" s="3"/>
      <c r="O35" s="3"/>
    </row>
    <row r="36" customFormat="false" ht="15" hidden="false" customHeight="false" outlineLevel="0" collapsed="false">
      <c r="A36" s="2"/>
      <c r="B36" s="3"/>
      <c r="C36" s="3"/>
      <c r="D36" s="3"/>
      <c r="E36" s="3"/>
      <c r="F36" s="4"/>
      <c r="G36" s="4"/>
      <c r="H36" s="4"/>
      <c r="I36" s="4"/>
      <c r="J36" s="4"/>
      <c r="K36" s="5" t="str">
        <f aca="false">IF(OR(F36="",H36="",I36=""),"",IF(D36="Long",(H36-F36)/F36*I36,(F36-H36)/F36*I36))</f>
        <v/>
      </c>
      <c r="L36" s="6" t="str">
        <f aca="false">IF(OR(K36="",J36="",J36=0),"",K36/J36)</f>
        <v/>
      </c>
      <c r="M36" s="3"/>
      <c r="N36" s="3"/>
      <c r="O36" s="3"/>
    </row>
    <row r="37" customFormat="false" ht="15" hidden="false" customHeight="false" outlineLevel="0" collapsed="false">
      <c r="A37" s="2"/>
      <c r="B37" s="3"/>
      <c r="C37" s="3"/>
      <c r="D37" s="3"/>
      <c r="E37" s="3"/>
      <c r="F37" s="4"/>
      <c r="G37" s="4"/>
      <c r="H37" s="4"/>
      <c r="I37" s="4"/>
      <c r="J37" s="4"/>
      <c r="K37" s="5" t="str">
        <f aca="false">IF(OR(F37="",H37="",I37=""),"",IF(D37="Long",(H37-F37)/F37*I37,(F37-H37)/F37*I37))</f>
        <v/>
      </c>
      <c r="L37" s="6" t="str">
        <f aca="false">IF(OR(K37="",J37="",J37=0),"",K37/J37)</f>
        <v/>
      </c>
      <c r="M37" s="3"/>
      <c r="N37" s="3"/>
      <c r="O37" s="3"/>
    </row>
    <row r="38" customFormat="false" ht="15" hidden="false" customHeight="false" outlineLevel="0" collapsed="false">
      <c r="A38" s="2"/>
      <c r="B38" s="3"/>
      <c r="C38" s="3"/>
      <c r="D38" s="3"/>
      <c r="E38" s="3"/>
      <c r="F38" s="4"/>
      <c r="G38" s="4"/>
      <c r="H38" s="4"/>
      <c r="I38" s="4"/>
      <c r="J38" s="4"/>
      <c r="K38" s="5" t="str">
        <f aca="false">IF(OR(F38="",H38="",I38=""),"",IF(D38="Long",(H38-F38)/F38*I38,(F38-H38)/F38*I38))</f>
        <v/>
      </c>
      <c r="L38" s="6" t="str">
        <f aca="false">IF(OR(K38="",J38="",J38=0),"",K38/J38)</f>
        <v/>
      </c>
      <c r="M38" s="3"/>
      <c r="N38" s="3"/>
      <c r="O38" s="3"/>
    </row>
    <row r="39" customFormat="false" ht="15" hidden="false" customHeight="false" outlineLevel="0" collapsed="false">
      <c r="A39" s="2"/>
      <c r="B39" s="3"/>
      <c r="C39" s="3"/>
      <c r="D39" s="3"/>
      <c r="E39" s="3"/>
      <c r="F39" s="4"/>
      <c r="G39" s="4"/>
      <c r="H39" s="4"/>
      <c r="I39" s="4"/>
      <c r="J39" s="4"/>
      <c r="K39" s="5" t="str">
        <f aca="false">IF(OR(F39="",H39="",I39=""),"",IF(D39="Long",(H39-F39)/F39*I39,(F39-H39)/F39*I39))</f>
        <v/>
      </c>
      <c r="L39" s="6" t="str">
        <f aca="false">IF(OR(K39="",J39="",J39=0),"",K39/J39)</f>
        <v/>
      </c>
      <c r="M39" s="3"/>
      <c r="N39" s="3"/>
      <c r="O39" s="3"/>
    </row>
    <row r="40" customFormat="false" ht="15" hidden="false" customHeight="false" outlineLevel="0" collapsed="false">
      <c r="A40" s="2"/>
      <c r="B40" s="3"/>
      <c r="C40" s="3"/>
      <c r="D40" s="3"/>
      <c r="E40" s="3"/>
      <c r="F40" s="4"/>
      <c r="G40" s="4"/>
      <c r="H40" s="4"/>
      <c r="I40" s="4"/>
      <c r="J40" s="4"/>
      <c r="K40" s="5" t="str">
        <f aca="false">IF(OR(F40="",H40="",I40=""),"",IF(D40="Long",(H40-F40)/F40*I40,(F40-H40)/F40*I40))</f>
        <v/>
      </c>
      <c r="L40" s="6" t="str">
        <f aca="false">IF(OR(K40="",J40="",J40=0),"",K40/J40)</f>
        <v/>
      </c>
      <c r="M40" s="3"/>
      <c r="N40" s="3"/>
      <c r="O40" s="3"/>
    </row>
    <row r="41" customFormat="false" ht="15" hidden="false" customHeight="false" outlineLevel="0" collapsed="false">
      <c r="A41" s="2"/>
      <c r="B41" s="3"/>
      <c r="C41" s="3"/>
      <c r="D41" s="3"/>
      <c r="E41" s="3"/>
      <c r="F41" s="4"/>
      <c r="G41" s="4"/>
      <c r="H41" s="4"/>
      <c r="I41" s="4"/>
      <c r="J41" s="4"/>
      <c r="K41" s="5" t="str">
        <f aca="false">IF(OR(F41="",H41="",I41=""),"",IF(D41="Long",(H41-F41)/F41*I41,(F41-H41)/F41*I41))</f>
        <v/>
      </c>
      <c r="L41" s="6" t="str">
        <f aca="false">IF(OR(K41="",J41="",J41=0),"",K41/J41)</f>
        <v/>
      </c>
      <c r="M41" s="3"/>
      <c r="N41" s="3"/>
      <c r="O41" s="3"/>
    </row>
    <row r="42" customFormat="false" ht="15" hidden="false" customHeight="false" outlineLevel="0" collapsed="false">
      <c r="A42" s="2"/>
      <c r="B42" s="3"/>
      <c r="C42" s="3"/>
      <c r="D42" s="3"/>
      <c r="E42" s="3"/>
      <c r="F42" s="4"/>
      <c r="G42" s="4"/>
      <c r="H42" s="4"/>
      <c r="I42" s="4"/>
      <c r="J42" s="4"/>
      <c r="K42" s="5" t="str">
        <f aca="false">IF(OR(F42="",H42="",I42=""),"",IF(D42="Long",(H42-F42)/F42*I42,(F42-H42)/F42*I42))</f>
        <v/>
      </c>
      <c r="L42" s="6" t="str">
        <f aca="false">IF(OR(K42="",J42="",J42=0),"",K42/J42)</f>
        <v/>
      </c>
      <c r="M42" s="3"/>
      <c r="N42" s="3"/>
      <c r="O42" s="3"/>
    </row>
    <row r="43" customFormat="false" ht="15" hidden="false" customHeight="false" outlineLevel="0" collapsed="false">
      <c r="A43" s="2"/>
      <c r="B43" s="3"/>
      <c r="C43" s="3"/>
      <c r="D43" s="3"/>
      <c r="E43" s="3"/>
      <c r="F43" s="4"/>
      <c r="G43" s="4"/>
      <c r="H43" s="4"/>
      <c r="I43" s="4"/>
      <c r="J43" s="4"/>
      <c r="K43" s="5" t="str">
        <f aca="false">IF(OR(F43="",H43="",I43=""),"",IF(D43="Long",(H43-F43)/F43*I43,(F43-H43)/F43*I43))</f>
        <v/>
      </c>
      <c r="L43" s="6" t="str">
        <f aca="false">IF(OR(K43="",J43="",J43=0),"",K43/J43)</f>
        <v/>
      </c>
      <c r="M43" s="3"/>
      <c r="N43" s="3"/>
      <c r="O43" s="3"/>
    </row>
    <row r="44" customFormat="false" ht="15" hidden="false" customHeight="false" outlineLevel="0" collapsed="false">
      <c r="A44" s="2"/>
      <c r="B44" s="3"/>
      <c r="C44" s="3"/>
      <c r="D44" s="3"/>
      <c r="E44" s="3"/>
      <c r="F44" s="4"/>
      <c r="G44" s="4"/>
      <c r="H44" s="4"/>
      <c r="I44" s="4"/>
      <c r="J44" s="4"/>
      <c r="K44" s="5" t="str">
        <f aca="false">IF(OR(F44="",H44="",I44=""),"",IF(D44="Long",(H44-F44)/F44*I44,(F44-H44)/F44*I44))</f>
        <v/>
      </c>
      <c r="L44" s="6" t="str">
        <f aca="false">IF(OR(K44="",J44="",J44=0),"",K44/J44)</f>
        <v/>
      </c>
      <c r="M44" s="3"/>
      <c r="N44" s="3"/>
      <c r="O44" s="3"/>
    </row>
    <row r="45" customFormat="false" ht="15" hidden="false" customHeight="false" outlineLevel="0" collapsed="false">
      <c r="A45" s="2"/>
      <c r="B45" s="3"/>
      <c r="C45" s="3"/>
      <c r="D45" s="3"/>
      <c r="E45" s="3"/>
      <c r="F45" s="4"/>
      <c r="G45" s="4"/>
      <c r="H45" s="4"/>
      <c r="I45" s="4"/>
      <c r="J45" s="4"/>
      <c r="K45" s="5" t="str">
        <f aca="false">IF(OR(F45="",H45="",I45=""),"",IF(D45="Long",(H45-F45)/F45*I45,(F45-H45)/F45*I45))</f>
        <v/>
      </c>
      <c r="L45" s="6" t="str">
        <f aca="false">IF(OR(K45="",J45="",J45=0),"",K45/J45)</f>
        <v/>
      </c>
      <c r="M45" s="3"/>
      <c r="N45" s="3"/>
      <c r="O45" s="3"/>
    </row>
    <row r="46" customFormat="false" ht="15" hidden="false" customHeight="false" outlineLevel="0" collapsed="false">
      <c r="A46" s="2"/>
      <c r="B46" s="3"/>
      <c r="C46" s="3"/>
      <c r="D46" s="3"/>
      <c r="E46" s="3"/>
      <c r="F46" s="4"/>
      <c r="G46" s="4"/>
      <c r="H46" s="4"/>
      <c r="I46" s="4"/>
      <c r="J46" s="4"/>
      <c r="K46" s="5" t="str">
        <f aca="false">IF(OR(F46="",H46="",I46=""),"",IF(D46="Long",(H46-F46)/F46*I46,(F46-H46)/F46*I46))</f>
        <v/>
      </c>
      <c r="L46" s="6" t="str">
        <f aca="false">IF(OR(K46="",J46="",J46=0),"",K46/J46)</f>
        <v/>
      </c>
      <c r="M46" s="3"/>
      <c r="N46" s="3"/>
      <c r="O46" s="3"/>
    </row>
    <row r="47" customFormat="false" ht="15" hidden="false" customHeight="false" outlineLevel="0" collapsed="false">
      <c r="A47" s="2"/>
      <c r="B47" s="3"/>
      <c r="C47" s="3"/>
      <c r="D47" s="3"/>
      <c r="E47" s="3"/>
      <c r="F47" s="4"/>
      <c r="G47" s="4"/>
      <c r="H47" s="4"/>
      <c r="I47" s="4"/>
      <c r="J47" s="4"/>
      <c r="K47" s="5" t="str">
        <f aca="false">IF(OR(F47="",H47="",I47=""),"",IF(D47="Long",(H47-F47)/F47*I47,(F47-H47)/F47*I47))</f>
        <v/>
      </c>
      <c r="L47" s="6" t="str">
        <f aca="false">IF(OR(K47="",J47="",J47=0),"",K47/J47)</f>
        <v/>
      </c>
      <c r="M47" s="3"/>
      <c r="N47" s="3"/>
      <c r="O47" s="3"/>
    </row>
    <row r="48" customFormat="false" ht="15" hidden="false" customHeight="false" outlineLevel="0" collapsed="false">
      <c r="A48" s="2"/>
      <c r="B48" s="3"/>
      <c r="C48" s="3"/>
      <c r="D48" s="3"/>
      <c r="E48" s="3"/>
      <c r="F48" s="4"/>
      <c r="G48" s="4"/>
      <c r="H48" s="4"/>
      <c r="I48" s="4"/>
      <c r="J48" s="4"/>
      <c r="K48" s="5" t="str">
        <f aca="false">IF(OR(F48="",H48="",I48=""),"",IF(D48="Long",(H48-F48)/F48*I48,(F48-H48)/F48*I48))</f>
        <v/>
      </c>
      <c r="L48" s="6" t="str">
        <f aca="false">IF(OR(K48="",J48="",J48=0),"",K48/J48)</f>
        <v/>
      </c>
      <c r="M48" s="3"/>
      <c r="N48" s="3"/>
      <c r="O48" s="3"/>
    </row>
    <row r="49" customFormat="false" ht="15" hidden="false" customHeight="false" outlineLevel="0" collapsed="false">
      <c r="A49" s="2"/>
      <c r="B49" s="3"/>
      <c r="C49" s="3"/>
      <c r="D49" s="3"/>
      <c r="E49" s="3"/>
      <c r="F49" s="4"/>
      <c r="G49" s="4"/>
      <c r="H49" s="4"/>
      <c r="I49" s="4"/>
      <c r="J49" s="4"/>
      <c r="K49" s="5" t="str">
        <f aca="false">IF(OR(F49="",H49="",I49=""),"",IF(D49="Long",(H49-F49)/F49*I49,(F49-H49)/F49*I49))</f>
        <v/>
      </c>
      <c r="L49" s="6" t="str">
        <f aca="false">IF(OR(K49="",J49="",J49=0),"",K49/J49)</f>
        <v/>
      </c>
      <c r="M49" s="3"/>
      <c r="N49" s="3"/>
      <c r="O49" s="3"/>
    </row>
    <row r="50" customFormat="false" ht="15" hidden="false" customHeight="false" outlineLevel="0" collapsed="false">
      <c r="A50" s="2"/>
      <c r="B50" s="3"/>
      <c r="C50" s="3"/>
      <c r="D50" s="3"/>
      <c r="E50" s="3"/>
      <c r="F50" s="4"/>
      <c r="G50" s="4"/>
      <c r="H50" s="4"/>
      <c r="I50" s="4"/>
      <c r="J50" s="4"/>
      <c r="K50" s="5" t="str">
        <f aca="false">IF(OR(F50="",H50="",I50=""),"",IF(D50="Long",(H50-F50)/F50*I50,(F50-H50)/F50*I50))</f>
        <v/>
      </c>
      <c r="L50" s="6" t="str">
        <f aca="false">IF(OR(K50="",J50="",J50=0),"",K50/J50)</f>
        <v/>
      </c>
      <c r="M50" s="3"/>
      <c r="N50" s="3"/>
      <c r="O50" s="3"/>
    </row>
    <row r="51" customFormat="false" ht="15" hidden="false" customHeight="false" outlineLevel="0" collapsed="false">
      <c r="A51" s="2"/>
      <c r="B51" s="3"/>
      <c r="C51" s="3"/>
      <c r="D51" s="3"/>
      <c r="E51" s="3"/>
      <c r="F51" s="4"/>
      <c r="G51" s="4"/>
      <c r="H51" s="4"/>
      <c r="I51" s="4"/>
      <c r="J51" s="4"/>
      <c r="K51" s="5" t="str">
        <f aca="false">IF(OR(F51="",H51="",I51=""),"",IF(D51="Long",(H51-F51)/F51*I51,(F51-H51)/F51*I51))</f>
        <v/>
      </c>
      <c r="L51" s="6" t="str">
        <f aca="false">IF(OR(K51="",J51="",J51=0),"",K51/J51)</f>
        <v/>
      </c>
      <c r="M51" s="3"/>
      <c r="N51" s="3"/>
      <c r="O51" s="3"/>
    </row>
    <row r="52" customFormat="false" ht="15" hidden="false" customHeight="false" outlineLevel="0" collapsed="false">
      <c r="A52" s="2"/>
      <c r="B52" s="3"/>
      <c r="C52" s="3"/>
      <c r="D52" s="3"/>
      <c r="E52" s="3"/>
      <c r="F52" s="4"/>
      <c r="G52" s="4"/>
      <c r="H52" s="4"/>
      <c r="I52" s="4"/>
      <c r="J52" s="4"/>
      <c r="K52" s="5" t="str">
        <f aca="false">IF(OR(F52="",H52="",I52=""),"",IF(D52="Long",(H52-F52)/F52*I52,(F52-H52)/F52*I52))</f>
        <v/>
      </c>
      <c r="L52" s="6" t="str">
        <f aca="false">IF(OR(K52="",J52="",J52=0),"",K52/J52)</f>
        <v/>
      </c>
      <c r="M52" s="3"/>
      <c r="N52" s="3"/>
      <c r="O52" s="3"/>
    </row>
    <row r="53" customFormat="false" ht="15" hidden="false" customHeight="false" outlineLevel="0" collapsed="false">
      <c r="A53" s="2"/>
      <c r="B53" s="3"/>
      <c r="C53" s="3"/>
      <c r="D53" s="3"/>
      <c r="E53" s="3"/>
      <c r="F53" s="4"/>
      <c r="G53" s="4"/>
      <c r="H53" s="4"/>
      <c r="I53" s="4"/>
      <c r="J53" s="4"/>
      <c r="K53" s="5" t="str">
        <f aca="false">IF(OR(F53="",H53="",I53=""),"",IF(D53="Long",(H53-F53)/F53*I53,(F53-H53)/F53*I53))</f>
        <v/>
      </c>
      <c r="L53" s="6" t="str">
        <f aca="false">IF(OR(K53="",J53="",J53=0),"",K53/J53)</f>
        <v/>
      </c>
      <c r="M53" s="3"/>
      <c r="N53" s="3"/>
      <c r="O53" s="3"/>
    </row>
    <row r="54" customFormat="false" ht="15" hidden="false" customHeight="false" outlineLevel="0" collapsed="false">
      <c r="A54" s="2"/>
      <c r="B54" s="3"/>
      <c r="C54" s="3"/>
      <c r="D54" s="3"/>
      <c r="E54" s="3"/>
      <c r="F54" s="4"/>
      <c r="G54" s="4"/>
      <c r="H54" s="4"/>
      <c r="I54" s="4"/>
      <c r="J54" s="4"/>
      <c r="K54" s="5" t="str">
        <f aca="false">IF(OR(F54="",H54="",I54=""),"",IF(D54="Long",(H54-F54)/F54*I54,(F54-H54)/F54*I54))</f>
        <v/>
      </c>
      <c r="L54" s="6" t="str">
        <f aca="false">IF(OR(K54="",J54="",J54=0),"",K54/J54)</f>
        <v/>
      </c>
      <c r="M54" s="3"/>
      <c r="N54" s="3"/>
      <c r="O54" s="3"/>
    </row>
    <row r="55" customFormat="false" ht="15" hidden="false" customHeight="false" outlineLevel="0" collapsed="false">
      <c r="A55" s="2"/>
      <c r="B55" s="3"/>
      <c r="C55" s="3"/>
      <c r="D55" s="3"/>
      <c r="E55" s="3"/>
      <c r="F55" s="4"/>
      <c r="G55" s="4"/>
      <c r="H55" s="4"/>
      <c r="I55" s="4"/>
      <c r="J55" s="4"/>
      <c r="K55" s="5" t="str">
        <f aca="false">IF(OR(F55="",H55="",I55=""),"",IF(D55="Long",(H55-F55)/F55*I55,(F55-H55)/F55*I55))</f>
        <v/>
      </c>
      <c r="L55" s="6" t="str">
        <f aca="false">IF(OR(K55="",J55="",J55=0),"",K55/J55)</f>
        <v/>
      </c>
      <c r="M55" s="3"/>
      <c r="N55" s="3"/>
      <c r="O55" s="3"/>
    </row>
    <row r="56" customFormat="false" ht="15" hidden="false" customHeight="false" outlineLevel="0" collapsed="false">
      <c r="A56" s="2"/>
      <c r="B56" s="3"/>
      <c r="C56" s="3"/>
      <c r="D56" s="3"/>
      <c r="E56" s="3"/>
      <c r="F56" s="4"/>
      <c r="G56" s="4"/>
      <c r="H56" s="4"/>
      <c r="I56" s="4"/>
      <c r="J56" s="4"/>
      <c r="K56" s="5" t="str">
        <f aca="false">IF(OR(F56="",H56="",I56=""),"",IF(D56="Long",(H56-F56)/F56*I56,(F56-H56)/F56*I56))</f>
        <v/>
      </c>
      <c r="L56" s="6" t="str">
        <f aca="false">IF(OR(K56="",J56="",J56=0),"",K56/J56)</f>
        <v/>
      </c>
      <c r="M56" s="3"/>
      <c r="N56" s="3"/>
      <c r="O56" s="3"/>
    </row>
    <row r="57" customFormat="false" ht="15" hidden="false" customHeight="false" outlineLevel="0" collapsed="false">
      <c r="A57" s="2"/>
      <c r="B57" s="3"/>
      <c r="C57" s="3"/>
      <c r="D57" s="3"/>
      <c r="E57" s="3"/>
      <c r="F57" s="4"/>
      <c r="G57" s="4"/>
      <c r="H57" s="4"/>
      <c r="I57" s="4"/>
      <c r="J57" s="4"/>
      <c r="K57" s="5" t="str">
        <f aca="false">IF(OR(F57="",H57="",I57=""),"",IF(D57="Long",(H57-F57)/F57*I57,(F57-H57)/F57*I57))</f>
        <v/>
      </c>
      <c r="L57" s="6" t="str">
        <f aca="false">IF(OR(K57="",J57="",J57=0),"",K57/J57)</f>
        <v/>
      </c>
      <c r="M57" s="3"/>
      <c r="N57" s="3"/>
      <c r="O57" s="3"/>
    </row>
    <row r="58" customFormat="false" ht="15" hidden="false" customHeight="false" outlineLevel="0" collapsed="false">
      <c r="A58" s="2"/>
      <c r="B58" s="3"/>
      <c r="C58" s="3"/>
      <c r="D58" s="3"/>
      <c r="E58" s="3"/>
      <c r="F58" s="4"/>
      <c r="G58" s="4"/>
      <c r="H58" s="4"/>
      <c r="I58" s="4"/>
      <c r="J58" s="4"/>
      <c r="K58" s="5" t="str">
        <f aca="false">IF(OR(F58="",H58="",I58=""),"",IF(D58="Long",(H58-F58)/F58*I58,(F58-H58)/F58*I58))</f>
        <v/>
      </c>
      <c r="L58" s="6" t="str">
        <f aca="false">IF(OR(K58="",J58="",J58=0),"",K58/J58)</f>
        <v/>
      </c>
      <c r="M58" s="3"/>
      <c r="N58" s="3"/>
      <c r="O58" s="3"/>
    </row>
    <row r="59" customFormat="false" ht="15" hidden="false" customHeight="false" outlineLevel="0" collapsed="false">
      <c r="A59" s="2"/>
      <c r="B59" s="3"/>
      <c r="C59" s="3"/>
      <c r="D59" s="3"/>
      <c r="E59" s="3"/>
      <c r="F59" s="4"/>
      <c r="G59" s="4"/>
      <c r="H59" s="4"/>
      <c r="I59" s="4"/>
      <c r="J59" s="4"/>
      <c r="K59" s="5" t="str">
        <f aca="false">IF(OR(F59="",H59="",I59=""),"",IF(D59="Long",(H59-F59)/F59*I59,(F59-H59)/F59*I59))</f>
        <v/>
      </c>
      <c r="L59" s="6" t="str">
        <f aca="false">IF(OR(K59="",J59="",J59=0),"",K59/J59)</f>
        <v/>
      </c>
      <c r="M59" s="3"/>
      <c r="N59" s="3"/>
      <c r="O59" s="3"/>
    </row>
    <row r="60" customFormat="false" ht="15" hidden="false" customHeight="false" outlineLevel="0" collapsed="false">
      <c r="A60" s="2"/>
      <c r="B60" s="3"/>
      <c r="C60" s="3"/>
      <c r="D60" s="3"/>
      <c r="E60" s="3"/>
      <c r="F60" s="4"/>
      <c r="G60" s="4"/>
      <c r="H60" s="4"/>
      <c r="I60" s="4"/>
      <c r="J60" s="4"/>
      <c r="K60" s="5" t="str">
        <f aca="false">IF(OR(F60="",H60="",I60=""),"",IF(D60="Long",(H60-F60)/F60*I60,(F60-H60)/F60*I60))</f>
        <v/>
      </c>
      <c r="L60" s="6" t="str">
        <f aca="false">IF(OR(K60="",J60="",J60=0),"",K60/J60)</f>
        <v/>
      </c>
      <c r="M60" s="3"/>
      <c r="N60" s="3"/>
      <c r="O60" s="3"/>
    </row>
    <row r="61" customFormat="false" ht="15" hidden="false" customHeight="false" outlineLevel="0" collapsed="false">
      <c r="A61" s="2"/>
      <c r="B61" s="3"/>
      <c r="C61" s="3"/>
      <c r="D61" s="3"/>
      <c r="E61" s="3"/>
      <c r="F61" s="4"/>
      <c r="G61" s="4"/>
      <c r="H61" s="4"/>
      <c r="I61" s="4"/>
      <c r="J61" s="4"/>
      <c r="K61" s="5" t="str">
        <f aca="false">IF(OR(F61="",H61="",I61=""),"",IF(D61="Long",(H61-F61)/F61*I61,(F61-H61)/F61*I61))</f>
        <v/>
      </c>
      <c r="L61" s="6" t="str">
        <f aca="false">IF(OR(K61="",J61="",J61=0),"",K61/J61)</f>
        <v/>
      </c>
      <c r="M61" s="3"/>
      <c r="N61" s="3"/>
      <c r="O61" s="3"/>
    </row>
    <row r="62" customFormat="false" ht="15" hidden="false" customHeight="false" outlineLevel="0" collapsed="false">
      <c r="A62" s="2"/>
      <c r="B62" s="3"/>
      <c r="C62" s="3"/>
      <c r="D62" s="3"/>
      <c r="E62" s="3"/>
      <c r="F62" s="4"/>
      <c r="G62" s="4"/>
      <c r="H62" s="4"/>
      <c r="I62" s="4"/>
      <c r="J62" s="4"/>
      <c r="K62" s="5" t="str">
        <f aca="false">IF(OR(F62="",H62="",I62=""),"",IF(D62="Long",(H62-F62)/F62*I62,(F62-H62)/F62*I62))</f>
        <v/>
      </c>
      <c r="L62" s="6" t="str">
        <f aca="false">IF(OR(K62="",J62="",J62=0),"",K62/J62)</f>
        <v/>
      </c>
      <c r="M62" s="3"/>
      <c r="N62" s="3"/>
      <c r="O62" s="3"/>
    </row>
    <row r="63" customFormat="false" ht="15" hidden="false" customHeight="false" outlineLevel="0" collapsed="false">
      <c r="A63" s="2"/>
      <c r="B63" s="3"/>
      <c r="C63" s="3"/>
      <c r="D63" s="3"/>
      <c r="E63" s="3"/>
      <c r="F63" s="4"/>
      <c r="G63" s="4"/>
      <c r="H63" s="4"/>
      <c r="I63" s="4"/>
      <c r="J63" s="4"/>
      <c r="K63" s="5" t="str">
        <f aca="false">IF(OR(F63="",H63="",I63=""),"",IF(D63="Long",(H63-F63)/F63*I63,(F63-H63)/F63*I63))</f>
        <v/>
      </c>
      <c r="L63" s="6" t="str">
        <f aca="false">IF(OR(K63="",J63="",J63=0),"",K63/J63)</f>
        <v/>
      </c>
      <c r="M63" s="3"/>
      <c r="N63" s="3"/>
      <c r="O63" s="3"/>
    </row>
    <row r="64" customFormat="false" ht="15" hidden="false" customHeight="false" outlineLevel="0" collapsed="false">
      <c r="A64" s="2"/>
      <c r="B64" s="3"/>
      <c r="C64" s="3"/>
      <c r="D64" s="3"/>
      <c r="E64" s="3"/>
      <c r="F64" s="4"/>
      <c r="G64" s="4"/>
      <c r="H64" s="4"/>
      <c r="I64" s="4"/>
      <c r="J64" s="4"/>
      <c r="K64" s="5" t="str">
        <f aca="false">IF(OR(F64="",H64="",I64=""),"",IF(D64="Long",(H64-F64)/F64*I64,(F64-H64)/F64*I64))</f>
        <v/>
      </c>
      <c r="L64" s="6" t="str">
        <f aca="false">IF(OR(K64="",J64="",J64=0),"",K64/J64)</f>
        <v/>
      </c>
      <c r="M64" s="3"/>
      <c r="N64" s="3"/>
      <c r="O64" s="3"/>
    </row>
    <row r="65" customFormat="false" ht="15" hidden="false" customHeight="false" outlineLevel="0" collapsed="false">
      <c r="A65" s="2"/>
      <c r="B65" s="3"/>
      <c r="C65" s="3"/>
      <c r="D65" s="3"/>
      <c r="E65" s="3"/>
      <c r="F65" s="4"/>
      <c r="G65" s="4"/>
      <c r="H65" s="4"/>
      <c r="I65" s="4"/>
      <c r="J65" s="4"/>
      <c r="K65" s="5" t="str">
        <f aca="false">IF(OR(F65="",H65="",I65=""),"",IF(D65="Long",(H65-F65)/F65*I65,(F65-H65)/F65*I65))</f>
        <v/>
      </c>
      <c r="L65" s="6" t="str">
        <f aca="false">IF(OR(K65="",J65="",J65=0),"",K65/J65)</f>
        <v/>
      </c>
      <c r="M65" s="3"/>
      <c r="N65" s="3"/>
      <c r="O65" s="3"/>
    </row>
    <row r="66" customFormat="false" ht="15" hidden="false" customHeight="false" outlineLevel="0" collapsed="false">
      <c r="A66" s="2"/>
      <c r="B66" s="3"/>
      <c r="C66" s="3"/>
      <c r="D66" s="3"/>
      <c r="E66" s="3"/>
      <c r="F66" s="4"/>
      <c r="G66" s="4"/>
      <c r="H66" s="4"/>
      <c r="I66" s="4"/>
      <c r="J66" s="4"/>
      <c r="K66" s="5" t="str">
        <f aca="false">IF(OR(F66="",H66="",I66=""),"",IF(D66="Long",(H66-F66)/F66*I66,(F66-H66)/F66*I66))</f>
        <v/>
      </c>
      <c r="L66" s="6" t="str">
        <f aca="false">IF(OR(K66="",J66="",J66=0),"",K66/J66)</f>
        <v/>
      </c>
      <c r="M66" s="3"/>
      <c r="N66" s="3"/>
      <c r="O66" s="3"/>
    </row>
    <row r="67" customFormat="false" ht="15" hidden="false" customHeight="false" outlineLevel="0" collapsed="false">
      <c r="A67" s="2"/>
      <c r="B67" s="3"/>
      <c r="C67" s="3"/>
      <c r="D67" s="3"/>
      <c r="E67" s="3"/>
      <c r="F67" s="4"/>
      <c r="G67" s="4"/>
      <c r="H67" s="4"/>
      <c r="I67" s="4"/>
      <c r="J67" s="4"/>
      <c r="K67" s="5" t="str">
        <f aca="false">IF(OR(F67="",H67="",I67=""),"",IF(D67="Long",(H67-F67)/F67*I67,(F67-H67)/F67*I67))</f>
        <v/>
      </c>
      <c r="L67" s="6" t="str">
        <f aca="false">IF(OR(K67="",J67="",J67=0),"",K67/J67)</f>
        <v/>
      </c>
      <c r="M67" s="3"/>
      <c r="N67" s="3"/>
      <c r="O67" s="3"/>
    </row>
    <row r="68" customFormat="false" ht="15" hidden="false" customHeight="false" outlineLevel="0" collapsed="false">
      <c r="A68" s="2"/>
      <c r="B68" s="3"/>
      <c r="C68" s="3"/>
      <c r="D68" s="3"/>
      <c r="E68" s="3"/>
      <c r="F68" s="4"/>
      <c r="G68" s="4"/>
      <c r="H68" s="4"/>
      <c r="I68" s="4"/>
      <c r="J68" s="4"/>
      <c r="K68" s="5" t="str">
        <f aca="false">IF(OR(F68="",H68="",I68=""),"",IF(D68="Long",(H68-F68)/F68*I68,(F68-H68)/F68*I68))</f>
        <v/>
      </c>
      <c r="L68" s="6" t="str">
        <f aca="false">IF(OR(K68="",J68="",J68=0),"",K68/J68)</f>
        <v/>
      </c>
      <c r="M68" s="3"/>
      <c r="N68" s="3"/>
      <c r="O68" s="3"/>
    </row>
    <row r="69" customFormat="false" ht="15" hidden="false" customHeight="false" outlineLevel="0" collapsed="false">
      <c r="A69" s="2"/>
      <c r="B69" s="3"/>
      <c r="C69" s="3"/>
      <c r="D69" s="3"/>
      <c r="E69" s="3"/>
      <c r="F69" s="4"/>
      <c r="G69" s="4"/>
      <c r="H69" s="4"/>
      <c r="I69" s="4"/>
      <c r="J69" s="4"/>
      <c r="K69" s="5" t="str">
        <f aca="false">IF(OR(F69="",H69="",I69=""),"",IF(D69="Long",(H69-F69)/F69*I69,(F69-H69)/F69*I69))</f>
        <v/>
      </c>
      <c r="L69" s="6" t="str">
        <f aca="false">IF(OR(K69="",J69="",J69=0),"",K69/J69)</f>
        <v/>
      </c>
      <c r="M69" s="3"/>
      <c r="N69" s="3"/>
      <c r="O69" s="3"/>
    </row>
    <row r="70" customFormat="false" ht="15" hidden="false" customHeight="false" outlineLevel="0" collapsed="false">
      <c r="A70" s="2"/>
      <c r="B70" s="3"/>
      <c r="C70" s="3"/>
      <c r="D70" s="3"/>
      <c r="E70" s="3"/>
      <c r="F70" s="4"/>
      <c r="G70" s="4"/>
      <c r="H70" s="4"/>
      <c r="I70" s="4"/>
      <c r="J70" s="4"/>
      <c r="K70" s="5" t="str">
        <f aca="false">IF(OR(F70="",H70="",I70=""),"",IF(D70="Long",(H70-F70)/F70*I70,(F70-H70)/F70*I70))</f>
        <v/>
      </c>
      <c r="L70" s="6" t="str">
        <f aca="false">IF(OR(K70="",J70="",J70=0),"",K70/J70)</f>
        <v/>
      </c>
      <c r="M70" s="3"/>
      <c r="N70" s="3"/>
      <c r="O70" s="3"/>
    </row>
    <row r="71" customFormat="false" ht="15" hidden="false" customHeight="false" outlineLevel="0" collapsed="false">
      <c r="A71" s="2"/>
      <c r="B71" s="3"/>
      <c r="C71" s="3"/>
      <c r="D71" s="3"/>
      <c r="E71" s="3"/>
      <c r="F71" s="4"/>
      <c r="G71" s="4"/>
      <c r="H71" s="4"/>
      <c r="I71" s="4"/>
      <c r="J71" s="4"/>
      <c r="K71" s="5" t="str">
        <f aca="false">IF(OR(F71="",H71="",I71=""),"",IF(D71="Long",(H71-F71)/F71*I71,(F71-H71)/F71*I71))</f>
        <v/>
      </c>
      <c r="L71" s="6" t="str">
        <f aca="false">IF(OR(K71="",J71="",J71=0),"",K71/J71)</f>
        <v/>
      </c>
      <c r="M71" s="3"/>
      <c r="N71" s="3"/>
      <c r="O71" s="3"/>
    </row>
    <row r="72" customFormat="false" ht="15" hidden="false" customHeight="false" outlineLevel="0" collapsed="false">
      <c r="A72" s="2"/>
      <c r="B72" s="3"/>
      <c r="C72" s="3"/>
      <c r="D72" s="3"/>
      <c r="E72" s="3"/>
      <c r="F72" s="4"/>
      <c r="G72" s="4"/>
      <c r="H72" s="4"/>
      <c r="I72" s="4"/>
      <c r="J72" s="4"/>
      <c r="K72" s="5" t="str">
        <f aca="false">IF(OR(F72="",H72="",I72=""),"",IF(D72="Long",(H72-F72)/F72*I72,(F72-H72)/F72*I72))</f>
        <v/>
      </c>
      <c r="L72" s="6" t="str">
        <f aca="false">IF(OR(K72="",J72="",J72=0),"",K72/J72)</f>
        <v/>
      </c>
      <c r="M72" s="3"/>
      <c r="N72" s="3"/>
      <c r="O72" s="3"/>
    </row>
    <row r="73" customFormat="false" ht="15" hidden="false" customHeight="false" outlineLevel="0" collapsed="false">
      <c r="A73" s="2"/>
      <c r="B73" s="3"/>
      <c r="C73" s="3"/>
      <c r="D73" s="3"/>
      <c r="E73" s="3"/>
      <c r="F73" s="4"/>
      <c r="G73" s="4"/>
      <c r="H73" s="4"/>
      <c r="I73" s="4"/>
      <c r="J73" s="4"/>
      <c r="K73" s="5" t="str">
        <f aca="false">IF(OR(F73="",H73="",I73=""),"",IF(D73="Long",(H73-F73)/F73*I73,(F73-H73)/F73*I73))</f>
        <v/>
      </c>
      <c r="L73" s="6" t="str">
        <f aca="false">IF(OR(K73="",J73="",J73=0),"",K73/J73)</f>
        <v/>
      </c>
      <c r="M73" s="3"/>
      <c r="N73" s="3"/>
      <c r="O73" s="3"/>
    </row>
    <row r="74" customFormat="false" ht="15" hidden="false" customHeight="false" outlineLevel="0" collapsed="false">
      <c r="A74" s="2"/>
      <c r="B74" s="3"/>
      <c r="C74" s="3"/>
      <c r="D74" s="3"/>
      <c r="E74" s="3"/>
      <c r="F74" s="4"/>
      <c r="G74" s="4"/>
      <c r="H74" s="4"/>
      <c r="I74" s="4"/>
      <c r="J74" s="4"/>
      <c r="K74" s="5" t="str">
        <f aca="false">IF(OR(F74="",H74="",I74=""),"",IF(D74="Long",(H74-F74)/F74*I74,(F74-H74)/F74*I74))</f>
        <v/>
      </c>
      <c r="L74" s="6" t="str">
        <f aca="false">IF(OR(K74="",J74="",J74=0),"",K74/J74)</f>
        <v/>
      </c>
      <c r="M74" s="3"/>
      <c r="N74" s="3"/>
      <c r="O74" s="3"/>
    </row>
    <row r="75" customFormat="false" ht="15" hidden="false" customHeight="false" outlineLevel="0" collapsed="false">
      <c r="A75" s="2"/>
      <c r="B75" s="3"/>
      <c r="C75" s="3"/>
      <c r="D75" s="3"/>
      <c r="E75" s="3"/>
      <c r="F75" s="4"/>
      <c r="G75" s="4"/>
      <c r="H75" s="4"/>
      <c r="I75" s="4"/>
      <c r="J75" s="4"/>
      <c r="K75" s="5" t="str">
        <f aca="false">IF(OR(F75="",H75="",I75=""),"",IF(D75="Long",(H75-F75)/F75*I75,(F75-H75)/F75*I75))</f>
        <v/>
      </c>
      <c r="L75" s="6" t="str">
        <f aca="false">IF(OR(K75="",J75="",J75=0),"",K75/J75)</f>
        <v/>
      </c>
      <c r="M75" s="3"/>
      <c r="N75" s="3"/>
      <c r="O75" s="3"/>
    </row>
    <row r="76" customFormat="false" ht="15" hidden="false" customHeight="false" outlineLevel="0" collapsed="false">
      <c r="A76" s="2"/>
      <c r="B76" s="3"/>
      <c r="C76" s="3"/>
      <c r="D76" s="3"/>
      <c r="E76" s="3"/>
      <c r="F76" s="4"/>
      <c r="G76" s="4"/>
      <c r="H76" s="4"/>
      <c r="I76" s="4"/>
      <c r="J76" s="4"/>
      <c r="K76" s="5" t="str">
        <f aca="false">IF(OR(F76="",H76="",I76=""),"",IF(D76="Long",(H76-F76)/F76*I76,(F76-H76)/F76*I76))</f>
        <v/>
      </c>
      <c r="L76" s="6" t="str">
        <f aca="false">IF(OR(K76="",J76="",J76=0),"",K76/J76)</f>
        <v/>
      </c>
      <c r="M76" s="3"/>
      <c r="N76" s="3"/>
      <c r="O76" s="3"/>
    </row>
    <row r="77" customFormat="false" ht="15" hidden="false" customHeight="false" outlineLevel="0" collapsed="false">
      <c r="A77" s="2"/>
      <c r="B77" s="3"/>
      <c r="C77" s="3"/>
      <c r="D77" s="3"/>
      <c r="E77" s="3"/>
      <c r="F77" s="4"/>
      <c r="G77" s="4"/>
      <c r="H77" s="4"/>
      <c r="I77" s="4"/>
      <c r="J77" s="4"/>
      <c r="K77" s="5" t="str">
        <f aca="false">IF(OR(F77="",H77="",I77=""),"",IF(D77="Long",(H77-F77)/F77*I77,(F77-H77)/F77*I77))</f>
        <v/>
      </c>
      <c r="L77" s="6" t="str">
        <f aca="false">IF(OR(K77="",J77="",J77=0),"",K77/J77)</f>
        <v/>
      </c>
      <c r="M77" s="3"/>
      <c r="N77" s="3"/>
      <c r="O77" s="3"/>
    </row>
    <row r="78" customFormat="false" ht="15" hidden="false" customHeight="false" outlineLevel="0" collapsed="false">
      <c r="A78" s="2"/>
      <c r="B78" s="3"/>
      <c r="C78" s="3"/>
      <c r="D78" s="3"/>
      <c r="E78" s="3"/>
      <c r="F78" s="4"/>
      <c r="G78" s="4"/>
      <c r="H78" s="4"/>
      <c r="I78" s="4"/>
      <c r="J78" s="4"/>
      <c r="K78" s="5" t="str">
        <f aca="false">IF(OR(F78="",H78="",I78=""),"",IF(D78="Long",(H78-F78)/F78*I78,(F78-H78)/F78*I78))</f>
        <v/>
      </c>
      <c r="L78" s="6" t="str">
        <f aca="false">IF(OR(K78="",J78="",J78=0),"",K78/J78)</f>
        <v/>
      </c>
      <c r="M78" s="3"/>
      <c r="N78" s="3"/>
      <c r="O78" s="3"/>
    </row>
    <row r="79" customFormat="false" ht="15" hidden="false" customHeight="false" outlineLevel="0" collapsed="false">
      <c r="A79" s="2"/>
      <c r="B79" s="3"/>
      <c r="C79" s="3"/>
      <c r="D79" s="3"/>
      <c r="E79" s="3"/>
      <c r="F79" s="4"/>
      <c r="G79" s="4"/>
      <c r="H79" s="4"/>
      <c r="I79" s="4"/>
      <c r="J79" s="4"/>
      <c r="K79" s="5" t="str">
        <f aca="false">IF(OR(F79="",H79="",I79=""),"",IF(D79="Long",(H79-F79)/F79*I79,(F79-H79)/F79*I79))</f>
        <v/>
      </c>
      <c r="L79" s="6" t="str">
        <f aca="false">IF(OR(K79="",J79="",J79=0),"",K79/J79)</f>
        <v/>
      </c>
      <c r="M79" s="3"/>
      <c r="N79" s="3"/>
      <c r="O79" s="3"/>
    </row>
    <row r="80" customFormat="false" ht="15" hidden="false" customHeight="false" outlineLevel="0" collapsed="false">
      <c r="A80" s="2"/>
      <c r="B80" s="3"/>
      <c r="C80" s="3"/>
      <c r="D80" s="3"/>
      <c r="E80" s="3"/>
      <c r="F80" s="4"/>
      <c r="G80" s="4"/>
      <c r="H80" s="4"/>
      <c r="I80" s="4"/>
      <c r="J80" s="4"/>
      <c r="K80" s="5" t="str">
        <f aca="false">IF(OR(F80="",H80="",I80=""),"",IF(D80="Long",(H80-F80)/F80*I80,(F80-H80)/F80*I80))</f>
        <v/>
      </c>
      <c r="L80" s="6" t="str">
        <f aca="false">IF(OR(K80="",J80="",J80=0),"",K80/J80)</f>
        <v/>
      </c>
      <c r="M80" s="3"/>
      <c r="N80" s="3"/>
      <c r="O80" s="3"/>
    </row>
    <row r="81" customFormat="false" ht="15" hidden="false" customHeight="false" outlineLevel="0" collapsed="false">
      <c r="A81" s="2"/>
      <c r="B81" s="3"/>
      <c r="C81" s="3"/>
      <c r="D81" s="3"/>
      <c r="E81" s="3"/>
      <c r="F81" s="4"/>
      <c r="G81" s="4"/>
      <c r="H81" s="4"/>
      <c r="I81" s="4"/>
      <c r="J81" s="4"/>
      <c r="K81" s="5" t="str">
        <f aca="false">IF(OR(F81="",H81="",I81=""),"",IF(D81="Long",(H81-F81)/F81*I81,(F81-H81)/F81*I81))</f>
        <v/>
      </c>
      <c r="L81" s="6" t="str">
        <f aca="false">IF(OR(K81="",J81="",J81=0),"",K81/J81)</f>
        <v/>
      </c>
      <c r="M81" s="3"/>
      <c r="N81" s="3"/>
      <c r="O81" s="3"/>
    </row>
    <row r="82" customFormat="false" ht="15" hidden="false" customHeight="false" outlineLevel="0" collapsed="false">
      <c r="A82" s="2"/>
      <c r="B82" s="3"/>
      <c r="C82" s="3"/>
      <c r="D82" s="3"/>
      <c r="E82" s="3"/>
      <c r="F82" s="4"/>
      <c r="G82" s="4"/>
      <c r="H82" s="4"/>
      <c r="I82" s="4"/>
      <c r="J82" s="4"/>
      <c r="K82" s="5" t="str">
        <f aca="false">IF(OR(F82="",H82="",I82=""),"",IF(D82="Long",(H82-F82)/F82*I82,(F82-H82)/F82*I82))</f>
        <v/>
      </c>
      <c r="L82" s="6" t="str">
        <f aca="false">IF(OR(K82="",J82="",J82=0),"",K82/J82)</f>
        <v/>
      </c>
      <c r="M82" s="3"/>
      <c r="N82" s="3"/>
      <c r="O82" s="3"/>
    </row>
    <row r="83" customFormat="false" ht="15" hidden="false" customHeight="false" outlineLevel="0" collapsed="false">
      <c r="A83" s="2"/>
      <c r="B83" s="3"/>
      <c r="C83" s="3"/>
      <c r="D83" s="3"/>
      <c r="E83" s="3"/>
      <c r="F83" s="4"/>
      <c r="G83" s="4"/>
      <c r="H83" s="4"/>
      <c r="I83" s="4"/>
      <c r="J83" s="4"/>
      <c r="K83" s="5" t="str">
        <f aca="false">IF(OR(F83="",H83="",I83=""),"",IF(D83="Long",(H83-F83)/F83*I83,(F83-H83)/F83*I83))</f>
        <v/>
      </c>
      <c r="L83" s="6" t="str">
        <f aca="false">IF(OR(K83="",J83="",J83=0),"",K83/J83)</f>
        <v/>
      </c>
      <c r="M83" s="3"/>
      <c r="N83" s="3"/>
      <c r="O83" s="3"/>
    </row>
    <row r="84" customFormat="false" ht="15" hidden="false" customHeight="false" outlineLevel="0" collapsed="false">
      <c r="A84" s="2"/>
      <c r="B84" s="3"/>
      <c r="C84" s="3"/>
      <c r="D84" s="3"/>
      <c r="E84" s="3"/>
      <c r="F84" s="4"/>
      <c r="G84" s="4"/>
      <c r="H84" s="4"/>
      <c r="I84" s="4"/>
      <c r="J84" s="4"/>
      <c r="K84" s="5" t="str">
        <f aca="false">IF(OR(F84="",H84="",I84=""),"",IF(D84="Long",(H84-F84)/F84*I84,(F84-H84)/F84*I84))</f>
        <v/>
      </c>
      <c r="L84" s="6" t="str">
        <f aca="false">IF(OR(K84="",J84="",J84=0),"",K84/J84)</f>
        <v/>
      </c>
      <c r="M84" s="3"/>
      <c r="N84" s="3"/>
      <c r="O84" s="3"/>
    </row>
    <row r="85" customFormat="false" ht="15" hidden="false" customHeight="false" outlineLevel="0" collapsed="false">
      <c r="A85" s="2"/>
      <c r="B85" s="3"/>
      <c r="C85" s="3"/>
      <c r="D85" s="3"/>
      <c r="E85" s="3"/>
      <c r="F85" s="4"/>
      <c r="G85" s="4"/>
      <c r="H85" s="4"/>
      <c r="I85" s="4"/>
      <c r="J85" s="4"/>
      <c r="K85" s="5" t="str">
        <f aca="false">IF(OR(F85="",H85="",I85=""),"",IF(D85="Long",(H85-F85)/F85*I85,(F85-H85)/F85*I85))</f>
        <v/>
      </c>
      <c r="L85" s="6" t="str">
        <f aca="false">IF(OR(K85="",J85="",J85=0),"",K85/J85)</f>
        <v/>
      </c>
      <c r="M85" s="3"/>
      <c r="N85" s="3"/>
      <c r="O85" s="3"/>
    </row>
    <row r="86" customFormat="false" ht="15" hidden="false" customHeight="false" outlineLevel="0" collapsed="false">
      <c r="A86" s="2"/>
      <c r="B86" s="3"/>
      <c r="C86" s="3"/>
      <c r="D86" s="3"/>
      <c r="E86" s="3"/>
      <c r="F86" s="4"/>
      <c r="G86" s="4"/>
      <c r="H86" s="4"/>
      <c r="I86" s="4"/>
      <c r="J86" s="4"/>
      <c r="K86" s="5" t="str">
        <f aca="false">IF(OR(F86="",H86="",I86=""),"",IF(D86="Long",(H86-F86)/F86*I86,(F86-H86)/F86*I86))</f>
        <v/>
      </c>
      <c r="L86" s="6" t="str">
        <f aca="false">IF(OR(K86="",J86="",J86=0),"",K86/J86)</f>
        <v/>
      </c>
      <c r="M86" s="3"/>
      <c r="N86" s="3"/>
      <c r="O86" s="3"/>
    </row>
    <row r="87" customFormat="false" ht="15" hidden="false" customHeight="false" outlineLevel="0" collapsed="false">
      <c r="A87" s="2"/>
      <c r="B87" s="3"/>
      <c r="C87" s="3"/>
      <c r="D87" s="3"/>
      <c r="E87" s="3"/>
      <c r="F87" s="4"/>
      <c r="G87" s="4"/>
      <c r="H87" s="4"/>
      <c r="I87" s="4"/>
      <c r="J87" s="4"/>
      <c r="K87" s="5" t="str">
        <f aca="false">IF(OR(F87="",H87="",I87=""),"",IF(D87="Long",(H87-F87)/F87*I87,(F87-H87)/F87*I87))</f>
        <v/>
      </c>
      <c r="L87" s="6" t="str">
        <f aca="false">IF(OR(K87="",J87="",J87=0),"",K87/J87)</f>
        <v/>
      </c>
      <c r="M87" s="3"/>
      <c r="N87" s="3"/>
      <c r="O87" s="3"/>
    </row>
    <row r="88" customFormat="false" ht="15" hidden="false" customHeight="false" outlineLevel="0" collapsed="false">
      <c r="A88" s="2"/>
      <c r="B88" s="3"/>
      <c r="C88" s="3"/>
      <c r="D88" s="3"/>
      <c r="E88" s="3"/>
      <c r="F88" s="4"/>
      <c r="G88" s="4"/>
      <c r="H88" s="4"/>
      <c r="I88" s="4"/>
      <c r="J88" s="4"/>
      <c r="K88" s="5" t="str">
        <f aca="false">IF(OR(F88="",H88="",I88=""),"",IF(D88="Long",(H88-F88)/F88*I88,(F88-H88)/F88*I88))</f>
        <v/>
      </c>
      <c r="L88" s="6" t="str">
        <f aca="false">IF(OR(K88="",J88="",J88=0),"",K88/J88)</f>
        <v/>
      </c>
      <c r="M88" s="3"/>
      <c r="N88" s="3"/>
      <c r="O88" s="3"/>
    </row>
    <row r="89" customFormat="false" ht="15" hidden="false" customHeight="false" outlineLevel="0" collapsed="false">
      <c r="A89" s="2"/>
      <c r="B89" s="3"/>
      <c r="C89" s="3"/>
      <c r="D89" s="3"/>
      <c r="E89" s="3"/>
      <c r="F89" s="4"/>
      <c r="G89" s="4"/>
      <c r="H89" s="4"/>
      <c r="I89" s="4"/>
      <c r="J89" s="4"/>
      <c r="K89" s="5" t="str">
        <f aca="false">IF(OR(F89="",H89="",I89=""),"",IF(D89="Long",(H89-F89)/F89*I89,(F89-H89)/F89*I89))</f>
        <v/>
      </c>
      <c r="L89" s="6" t="str">
        <f aca="false">IF(OR(K89="",J89="",J89=0),"",K89/J89)</f>
        <v/>
      </c>
      <c r="M89" s="3"/>
      <c r="N89" s="3"/>
      <c r="O89" s="3"/>
    </row>
    <row r="90" customFormat="false" ht="15" hidden="false" customHeight="false" outlineLevel="0" collapsed="false">
      <c r="A90" s="2"/>
      <c r="B90" s="3"/>
      <c r="C90" s="3"/>
      <c r="D90" s="3"/>
      <c r="E90" s="3"/>
      <c r="F90" s="4"/>
      <c r="G90" s="4"/>
      <c r="H90" s="4"/>
      <c r="I90" s="4"/>
      <c r="J90" s="4"/>
      <c r="K90" s="5" t="str">
        <f aca="false">IF(OR(F90="",H90="",I90=""),"",IF(D90="Long",(H90-F90)/F90*I90,(F90-H90)/F90*I90))</f>
        <v/>
      </c>
      <c r="L90" s="6" t="str">
        <f aca="false">IF(OR(K90="",J90="",J90=0),"",K90/J90)</f>
        <v/>
      </c>
      <c r="M90" s="3"/>
      <c r="N90" s="3"/>
      <c r="O90" s="3"/>
    </row>
    <row r="91" customFormat="false" ht="15" hidden="false" customHeight="false" outlineLevel="0" collapsed="false">
      <c r="A91" s="2"/>
      <c r="B91" s="3"/>
      <c r="C91" s="3"/>
      <c r="D91" s="3"/>
      <c r="E91" s="3"/>
      <c r="F91" s="4"/>
      <c r="G91" s="4"/>
      <c r="H91" s="4"/>
      <c r="I91" s="4"/>
      <c r="J91" s="4"/>
      <c r="K91" s="5" t="str">
        <f aca="false">IF(OR(F91="",H91="",I91=""),"",IF(D91="Long",(H91-F91)/F91*I91,(F91-H91)/F91*I91))</f>
        <v/>
      </c>
      <c r="L91" s="6" t="str">
        <f aca="false">IF(OR(K91="",J91="",J91=0),"",K91/J91)</f>
        <v/>
      </c>
      <c r="M91" s="3"/>
      <c r="N91" s="3"/>
      <c r="O91" s="3"/>
    </row>
    <row r="92" customFormat="false" ht="15" hidden="false" customHeight="false" outlineLevel="0" collapsed="false">
      <c r="A92" s="2"/>
      <c r="B92" s="3"/>
      <c r="C92" s="3"/>
      <c r="D92" s="3"/>
      <c r="E92" s="3"/>
      <c r="F92" s="4"/>
      <c r="G92" s="4"/>
      <c r="H92" s="4"/>
      <c r="I92" s="4"/>
      <c r="J92" s="4"/>
      <c r="K92" s="5" t="str">
        <f aca="false">IF(OR(F92="",H92="",I92=""),"",IF(D92="Long",(H92-F92)/F92*I92,(F92-H92)/F92*I92))</f>
        <v/>
      </c>
      <c r="L92" s="6" t="str">
        <f aca="false">IF(OR(K92="",J92="",J92=0),"",K92/J92)</f>
        <v/>
      </c>
      <c r="M92" s="3"/>
      <c r="N92" s="3"/>
      <c r="O92" s="3"/>
    </row>
    <row r="93" customFormat="false" ht="15" hidden="false" customHeight="false" outlineLevel="0" collapsed="false">
      <c r="A93" s="2"/>
      <c r="B93" s="3"/>
      <c r="C93" s="3"/>
      <c r="D93" s="3"/>
      <c r="E93" s="3"/>
      <c r="F93" s="4"/>
      <c r="G93" s="4"/>
      <c r="H93" s="4"/>
      <c r="I93" s="4"/>
      <c r="J93" s="4"/>
      <c r="K93" s="5" t="str">
        <f aca="false">IF(OR(F93="",H93="",I93=""),"",IF(D93="Long",(H93-F93)/F93*I93,(F93-H93)/F93*I93))</f>
        <v/>
      </c>
      <c r="L93" s="6" t="str">
        <f aca="false">IF(OR(K93="",J93="",J93=0),"",K93/J93)</f>
        <v/>
      </c>
      <c r="M93" s="3"/>
      <c r="N93" s="3"/>
      <c r="O93" s="3"/>
    </row>
    <row r="94" customFormat="false" ht="15" hidden="false" customHeight="false" outlineLevel="0" collapsed="false">
      <c r="A94" s="2"/>
      <c r="B94" s="3"/>
      <c r="C94" s="3"/>
      <c r="D94" s="3"/>
      <c r="E94" s="3"/>
      <c r="F94" s="4"/>
      <c r="G94" s="4"/>
      <c r="H94" s="4"/>
      <c r="I94" s="4"/>
      <c r="J94" s="4"/>
      <c r="K94" s="5" t="str">
        <f aca="false">IF(OR(F94="",H94="",I94=""),"",IF(D94="Long",(H94-F94)/F94*I94,(F94-H94)/F94*I94))</f>
        <v/>
      </c>
      <c r="L94" s="6" t="str">
        <f aca="false">IF(OR(K94="",J94="",J94=0),"",K94/J94)</f>
        <v/>
      </c>
      <c r="M94" s="3"/>
      <c r="N94" s="3"/>
      <c r="O94" s="3"/>
    </row>
    <row r="95" customFormat="false" ht="15" hidden="false" customHeight="false" outlineLevel="0" collapsed="false">
      <c r="A95" s="2"/>
      <c r="B95" s="3"/>
      <c r="C95" s="3"/>
      <c r="D95" s="3"/>
      <c r="E95" s="3"/>
      <c r="F95" s="4"/>
      <c r="G95" s="4"/>
      <c r="H95" s="4"/>
      <c r="I95" s="4"/>
      <c r="J95" s="4"/>
      <c r="K95" s="5" t="str">
        <f aca="false">IF(OR(F95="",H95="",I95=""),"",IF(D95="Long",(H95-F95)/F95*I95,(F95-H95)/F95*I95))</f>
        <v/>
      </c>
      <c r="L95" s="6" t="str">
        <f aca="false">IF(OR(K95="",J95="",J95=0),"",K95/J95)</f>
        <v/>
      </c>
      <c r="M95" s="3"/>
      <c r="N95" s="3"/>
      <c r="O95" s="3"/>
    </row>
    <row r="96" customFormat="false" ht="15" hidden="false" customHeight="false" outlineLevel="0" collapsed="false">
      <c r="A96" s="2"/>
      <c r="B96" s="3"/>
      <c r="C96" s="3"/>
      <c r="D96" s="3"/>
      <c r="E96" s="3"/>
      <c r="F96" s="4"/>
      <c r="G96" s="4"/>
      <c r="H96" s="4"/>
      <c r="I96" s="4"/>
      <c r="J96" s="4"/>
      <c r="K96" s="5" t="str">
        <f aca="false">IF(OR(F96="",H96="",I96=""),"",IF(D96="Long",(H96-F96)/F96*I96,(F96-H96)/F96*I96))</f>
        <v/>
      </c>
      <c r="L96" s="6" t="str">
        <f aca="false">IF(OR(K96="",J96="",J96=0),"",K96/J96)</f>
        <v/>
      </c>
      <c r="M96" s="3"/>
      <c r="N96" s="3"/>
      <c r="O96" s="3"/>
    </row>
    <row r="97" customFormat="false" ht="15" hidden="false" customHeight="false" outlineLevel="0" collapsed="false">
      <c r="A97" s="2"/>
      <c r="B97" s="3"/>
      <c r="C97" s="3"/>
      <c r="D97" s="3"/>
      <c r="E97" s="3"/>
      <c r="F97" s="4"/>
      <c r="G97" s="4"/>
      <c r="H97" s="4"/>
      <c r="I97" s="4"/>
      <c r="J97" s="4"/>
      <c r="K97" s="5" t="str">
        <f aca="false">IF(OR(F97="",H97="",I97=""),"",IF(D97="Long",(H97-F97)/F97*I97,(F97-H97)/F97*I97))</f>
        <v/>
      </c>
      <c r="L97" s="6" t="str">
        <f aca="false">IF(OR(K97="",J97="",J97=0),"",K97/J97)</f>
        <v/>
      </c>
      <c r="M97" s="3"/>
      <c r="N97" s="3"/>
      <c r="O97" s="3"/>
    </row>
    <row r="98" customFormat="false" ht="15" hidden="false" customHeight="false" outlineLevel="0" collapsed="false">
      <c r="A98" s="2"/>
      <c r="B98" s="3"/>
      <c r="C98" s="3"/>
      <c r="D98" s="3"/>
      <c r="E98" s="3"/>
      <c r="F98" s="4"/>
      <c r="G98" s="4"/>
      <c r="H98" s="4"/>
      <c r="I98" s="4"/>
      <c r="J98" s="4"/>
      <c r="K98" s="5" t="str">
        <f aca="false">IF(OR(F98="",H98="",I98=""),"",IF(D98="Long",(H98-F98)/F98*I98,(F98-H98)/F98*I98))</f>
        <v/>
      </c>
      <c r="L98" s="6" t="str">
        <f aca="false">IF(OR(K98="",J98="",J98=0),"",K98/J98)</f>
        <v/>
      </c>
      <c r="M98" s="3"/>
      <c r="N98" s="3"/>
      <c r="O98" s="3"/>
    </row>
    <row r="99" customFormat="false" ht="15" hidden="false" customHeight="false" outlineLevel="0" collapsed="false">
      <c r="A99" s="2"/>
      <c r="B99" s="3"/>
      <c r="C99" s="3"/>
      <c r="D99" s="3"/>
      <c r="E99" s="3"/>
      <c r="F99" s="4"/>
      <c r="G99" s="4"/>
      <c r="H99" s="4"/>
      <c r="I99" s="4"/>
      <c r="J99" s="4"/>
      <c r="K99" s="5" t="str">
        <f aca="false">IF(OR(F99="",H99="",I99=""),"",IF(D99="Long",(H99-F99)/F99*I99,(F99-H99)/F99*I99))</f>
        <v/>
      </c>
      <c r="L99" s="6" t="str">
        <f aca="false">IF(OR(K99="",J99="",J99=0),"",K99/J99)</f>
        <v/>
      </c>
      <c r="M99" s="3"/>
      <c r="N99" s="3"/>
      <c r="O99" s="3"/>
    </row>
    <row r="100" customFormat="false" ht="15" hidden="false" customHeight="false" outlineLevel="0" collapsed="false">
      <c r="A100" s="2"/>
      <c r="B100" s="3"/>
      <c r="C100" s="3"/>
      <c r="D100" s="3"/>
      <c r="E100" s="3"/>
      <c r="F100" s="4"/>
      <c r="G100" s="4"/>
      <c r="H100" s="4"/>
      <c r="I100" s="4"/>
      <c r="J100" s="4"/>
      <c r="K100" s="5" t="str">
        <f aca="false">IF(OR(F100="",H100="",I100=""),"",IF(D100="Long",(H100-F100)/F100*I100,(F100-H100)/F100*I100))</f>
        <v/>
      </c>
      <c r="L100" s="6" t="str">
        <f aca="false">IF(OR(K100="",J100="",J100=0),"",K100/J100)</f>
        <v/>
      </c>
      <c r="M100" s="3"/>
      <c r="N100" s="3"/>
      <c r="O100" s="3"/>
    </row>
    <row r="101" customFormat="false" ht="15" hidden="false" customHeight="false" outlineLevel="0" collapsed="false">
      <c r="A101" s="2"/>
      <c r="B101" s="3"/>
      <c r="C101" s="3"/>
      <c r="D101" s="3"/>
      <c r="E101" s="3"/>
      <c r="F101" s="4"/>
      <c r="G101" s="4"/>
      <c r="H101" s="4"/>
      <c r="I101" s="4"/>
      <c r="J101" s="4"/>
      <c r="K101" s="5" t="str">
        <f aca="false">IF(OR(F101="",H101="",I101=""),"",IF(D101="Long",(H101-F101)/F101*I101,(F101-H101)/F101*I101))</f>
        <v/>
      </c>
      <c r="L101" s="6" t="str">
        <f aca="false">IF(OR(K101="",J101="",J101=0),"",K101/J101)</f>
        <v/>
      </c>
      <c r="M101" s="3"/>
      <c r="N101" s="3"/>
      <c r="O101" s="3"/>
    </row>
    <row r="102" customFormat="false" ht="15" hidden="false" customHeight="false" outlineLevel="0" collapsed="false">
      <c r="A102" s="2"/>
      <c r="B102" s="3"/>
      <c r="C102" s="3"/>
      <c r="D102" s="3"/>
      <c r="E102" s="3"/>
      <c r="F102" s="4"/>
      <c r="G102" s="4"/>
      <c r="H102" s="4"/>
      <c r="I102" s="4"/>
      <c r="J102" s="4"/>
      <c r="K102" s="5" t="str">
        <f aca="false">IF(OR(F102="",H102="",I102=""),"",IF(D102="Long",(H102-F102)/F102*I102,(F102-H102)/F102*I102))</f>
        <v/>
      </c>
      <c r="L102" s="6" t="str">
        <f aca="false">IF(OR(K102="",J102="",J102=0),"",K102/J102)</f>
        <v/>
      </c>
      <c r="M102" s="3"/>
      <c r="N102" s="3"/>
      <c r="O102" s="3"/>
    </row>
    <row r="103" customFormat="false" ht="15" hidden="false" customHeight="false" outlineLevel="0" collapsed="false">
      <c r="A103" s="2"/>
      <c r="B103" s="3"/>
      <c r="C103" s="3"/>
      <c r="D103" s="3"/>
      <c r="E103" s="3"/>
      <c r="F103" s="4"/>
      <c r="G103" s="4"/>
      <c r="H103" s="4"/>
      <c r="I103" s="4"/>
      <c r="J103" s="4"/>
      <c r="K103" s="5" t="str">
        <f aca="false">IF(OR(F103="",H103="",I103=""),"",IF(D103="Long",(H103-F103)/F103*I103,(F103-H103)/F103*I103))</f>
        <v/>
      </c>
      <c r="L103" s="6" t="str">
        <f aca="false">IF(OR(K103="",J103="",J103=0),"",K103/J103)</f>
        <v/>
      </c>
      <c r="M103" s="3"/>
      <c r="N103" s="3"/>
      <c r="O103" s="3"/>
    </row>
    <row r="104" customFormat="false" ht="15" hidden="false" customHeight="false" outlineLevel="0" collapsed="false">
      <c r="A104" s="2"/>
      <c r="B104" s="3"/>
      <c r="C104" s="3"/>
      <c r="D104" s="3"/>
      <c r="E104" s="3"/>
      <c r="F104" s="4"/>
      <c r="G104" s="4"/>
      <c r="H104" s="4"/>
      <c r="I104" s="4"/>
      <c r="J104" s="4"/>
      <c r="K104" s="5" t="str">
        <f aca="false">IF(OR(F104="",H104="",I104=""),"",IF(D104="Long",(H104-F104)/F104*I104,(F104-H104)/F104*I104))</f>
        <v/>
      </c>
      <c r="L104" s="6" t="str">
        <f aca="false">IF(OR(K104="",J104="",J104=0),"",K104/J104)</f>
        <v/>
      </c>
      <c r="M104" s="3"/>
      <c r="N104" s="3"/>
      <c r="O104" s="3"/>
    </row>
    <row r="105" customFormat="false" ht="15" hidden="false" customHeight="false" outlineLevel="0" collapsed="false">
      <c r="A105" s="2"/>
      <c r="B105" s="3"/>
      <c r="C105" s="3"/>
      <c r="D105" s="3"/>
      <c r="E105" s="3"/>
      <c r="F105" s="4"/>
      <c r="G105" s="4"/>
      <c r="H105" s="4"/>
      <c r="I105" s="4"/>
      <c r="J105" s="4"/>
      <c r="K105" s="5" t="str">
        <f aca="false">IF(OR(F105="",H105="",I105=""),"",IF(D105="Long",(H105-F105)/F105*I105,(F105-H105)/F105*I105))</f>
        <v/>
      </c>
      <c r="L105" s="6" t="str">
        <f aca="false">IF(OR(K105="",J105="",J105=0),"",K105/J105)</f>
        <v/>
      </c>
      <c r="M105" s="3"/>
      <c r="N105" s="3"/>
      <c r="O105" s="3"/>
    </row>
    <row r="106" customFormat="false" ht="15" hidden="false" customHeight="false" outlineLevel="0" collapsed="false">
      <c r="A106" s="2"/>
      <c r="B106" s="3"/>
      <c r="C106" s="3"/>
      <c r="D106" s="3"/>
      <c r="E106" s="3"/>
      <c r="F106" s="4"/>
      <c r="G106" s="4"/>
      <c r="H106" s="4"/>
      <c r="I106" s="4"/>
      <c r="J106" s="4"/>
      <c r="K106" s="5" t="str">
        <f aca="false">IF(OR(F106="",H106="",I106=""),"",IF(D106="Long",(H106-F106)/F106*I106,(F106-H106)/F106*I106))</f>
        <v/>
      </c>
      <c r="L106" s="6" t="str">
        <f aca="false">IF(OR(K106="",J106="",J106=0),"",K106/J106)</f>
        <v/>
      </c>
      <c r="M106" s="3"/>
      <c r="N106" s="3"/>
      <c r="O106" s="3"/>
    </row>
    <row r="107" customFormat="false" ht="15" hidden="false" customHeight="false" outlineLevel="0" collapsed="false">
      <c r="A107" s="2"/>
      <c r="B107" s="3"/>
      <c r="C107" s="3"/>
      <c r="D107" s="3"/>
      <c r="E107" s="3"/>
      <c r="F107" s="4"/>
      <c r="G107" s="4"/>
      <c r="H107" s="4"/>
      <c r="I107" s="4"/>
      <c r="J107" s="4"/>
      <c r="K107" s="5" t="str">
        <f aca="false">IF(OR(F107="",H107="",I107=""),"",IF(D107="Long",(H107-F107)/F107*I107,(F107-H107)/F107*I107))</f>
        <v/>
      </c>
      <c r="L107" s="6" t="str">
        <f aca="false">IF(OR(K107="",J107="",J107=0),"",K107/J107)</f>
        <v/>
      </c>
      <c r="M107" s="3"/>
      <c r="N107" s="3"/>
      <c r="O107" s="3"/>
    </row>
    <row r="108" customFormat="false" ht="15" hidden="false" customHeight="false" outlineLevel="0" collapsed="false">
      <c r="A108" s="2"/>
      <c r="B108" s="3"/>
      <c r="C108" s="3"/>
      <c r="D108" s="3"/>
      <c r="E108" s="3"/>
      <c r="F108" s="4"/>
      <c r="G108" s="4"/>
      <c r="H108" s="4"/>
      <c r="I108" s="4"/>
      <c r="J108" s="4"/>
      <c r="K108" s="5" t="str">
        <f aca="false">IF(OR(F108="",H108="",I108=""),"",IF(D108="Long",(H108-F108)/F108*I108,(F108-H108)/F108*I108))</f>
        <v/>
      </c>
      <c r="L108" s="6" t="str">
        <f aca="false">IF(OR(K108="",J108="",J108=0),"",K108/J108)</f>
        <v/>
      </c>
      <c r="M108" s="3"/>
      <c r="N108" s="3"/>
      <c r="O108" s="3"/>
    </row>
    <row r="109" customFormat="false" ht="15" hidden="false" customHeight="false" outlineLevel="0" collapsed="false">
      <c r="A109" s="2"/>
      <c r="B109" s="3"/>
      <c r="C109" s="3"/>
      <c r="D109" s="3"/>
      <c r="E109" s="3"/>
      <c r="F109" s="4"/>
      <c r="G109" s="4"/>
      <c r="H109" s="4"/>
      <c r="I109" s="4"/>
      <c r="J109" s="4"/>
      <c r="K109" s="5" t="str">
        <f aca="false">IF(OR(F109="",H109="",I109=""),"",IF(D109="Long",(H109-F109)/F109*I109,(F109-H109)/F109*I109))</f>
        <v/>
      </c>
      <c r="L109" s="6" t="str">
        <f aca="false">IF(OR(K109="",J109="",J109=0),"",K109/J109)</f>
        <v/>
      </c>
      <c r="M109" s="3"/>
      <c r="N109" s="3"/>
      <c r="O109" s="3"/>
    </row>
    <row r="110" customFormat="false" ht="15" hidden="false" customHeight="false" outlineLevel="0" collapsed="false">
      <c r="A110" s="2"/>
      <c r="B110" s="3"/>
      <c r="C110" s="3"/>
      <c r="D110" s="3"/>
      <c r="E110" s="3"/>
      <c r="F110" s="4"/>
      <c r="G110" s="4"/>
      <c r="H110" s="4"/>
      <c r="I110" s="4"/>
      <c r="J110" s="4"/>
      <c r="K110" s="5" t="str">
        <f aca="false">IF(OR(F110="",H110="",I110=""),"",IF(D110="Long",(H110-F110)/F110*I110,(F110-H110)/F110*I110))</f>
        <v/>
      </c>
      <c r="L110" s="6" t="str">
        <f aca="false">IF(OR(K110="",J110="",J110=0),"",K110/J110)</f>
        <v/>
      </c>
      <c r="M110" s="3"/>
      <c r="N110" s="3"/>
      <c r="O110" s="3"/>
    </row>
    <row r="111" customFormat="false" ht="15" hidden="false" customHeight="false" outlineLevel="0" collapsed="false">
      <c r="A111" s="2"/>
      <c r="B111" s="3"/>
      <c r="C111" s="3"/>
      <c r="D111" s="3"/>
      <c r="E111" s="3"/>
      <c r="F111" s="4"/>
      <c r="G111" s="4"/>
      <c r="H111" s="4"/>
      <c r="I111" s="4"/>
      <c r="J111" s="4"/>
      <c r="K111" s="5" t="str">
        <f aca="false">IF(OR(F111="",H111="",I111=""),"",IF(D111="Long",(H111-F111)/F111*I111,(F111-H111)/F111*I111))</f>
        <v/>
      </c>
      <c r="L111" s="6" t="str">
        <f aca="false">IF(OR(K111="",J111="",J111=0),"",K111/J111)</f>
        <v/>
      </c>
      <c r="M111" s="3"/>
      <c r="N111" s="3"/>
      <c r="O111" s="3"/>
    </row>
    <row r="112" customFormat="false" ht="15" hidden="false" customHeight="false" outlineLevel="0" collapsed="false">
      <c r="A112" s="2"/>
      <c r="B112" s="3"/>
      <c r="C112" s="3"/>
      <c r="D112" s="3"/>
      <c r="E112" s="3"/>
      <c r="F112" s="4"/>
      <c r="G112" s="4"/>
      <c r="H112" s="4"/>
      <c r="I112" s="4"/>
      <c r="J112" s="4"/>
      <c r="K112" s="5" t="str">
        <f aca="false">IF(OR(F112="",H112="",I112=""),"",IF(D112="Long",(H112-F112)/F112*I112,(F112-H112)/F112*I112))</f>
        <v/>
      </c>
      <c r="L112" s="6" t="str">
        <f aca="false">IF(OR(K112="",J112="",J112=0),"",K112/J112)</f>
        <v/>
      </c>
      <c r="M112" s="3"/>
      <c r="N112" s="3"/>
      <c r="O112" s="3"/>
    </row>
    <row r="113" customFormat="false" ht="15" hidden="false" customHeight="false" outlineLevel="0" collapsed="false">
      <c r="A113" s="2"/>
      <c r="B113" s="3"/>
      <c r="C113" s="3"/>
      <c r="D113" s="3"/>
      <c r="E113" s="3"/>
      <c r="F113" s="4"/>
      <c r="G113" s="4"/>
      <c r="H113" s="4"/>
      <c r="I113" s="4"/>
      <c r="J113" s="4"/>
      <c r="K113" s="5" t="str">
        <f aca="false">IF(OR(F113="",H113="",I113=""),"",IF(D113="Long",(H113-F113)/F113*I113,(F113-H113)/F113*I113))</f>
        <v/>
      </c>
      <c r="L113" s="6" t="str">
        <f aca="false">IF(OR(K113="",J113="",J113=0),"",K113/J113)</f>
        <v/>
      </c>
      <c r="M113" s="3"/>
      <c r="N113" s="3"/>
      <c r="O113" s="3"/>
    </row>
    <row r="114" customFormat="false" ht="15" hidden="false" customHeight="false" outlineLevel="0" collapsed="false">
      <c r="A114" s="2"/>
      <c r="B114" s="3"/>
      <c r="C114" s="3"/>
      <c r="D114" s="3"/>
      <c r="E114" s="3"/>
      <c r="F114" s="4"/>
      <c r="G114" s="4"/>
      <c r="H114" s="4"/>
      <c r="I114" s="4"/>
      <c r="J114" s="4"/>
      <c r="K114" s="5" t="str">
        <f aca="false">IF(OR(F114="",H114="",I114=""),"",IF(D114="Long",(H114-F114)/F114*I114,(F114-H114)/F114*I114))</f>
        <v/>
      </c>
      <c r="L114" s="6" t="str">
        <f aca="false">IF(OR(K114="",J114="",J114=0),"",K114/J114)</f>
        <v/>
      </c>
      <c r="M114" s="3"/>
      <c r="N114" s="3"/>
      <c r="O114" s="3"/>
    </row>
    <row r="115" customFormat="false" ht="15" hidden="false" customHeight="false" outlineLevel="0" collapsed="false">
      <c r="A115" s="2"/>
      <c r="B115" s="3"/>
      <c r="C115" s="3"/>
      <c r="D115" s="3"/>
      <c r="E115" s="3"/>
      <c r="F115" s="4"/>
      <c r="G115" s="4"/>
      <c r="H115" s="4"/>
      <c r="I115" s="4"/>
      <c r="J115" s="4"/>
      <c r="K115" s="5" t="str">
        <f aca="false">IF(OR(F115="",H115="",I115=""),"",IF(D115="Long",(H115-F115)/F115*I115,(F115-H115)/F115*I115))</f>
        <v/>
      </c>
      <c r="L115" s="6" t="str">
        <f aca="false">IF(OR(K115="",J115="",J115=0),"",K115/J115)</f>
        <v/>
      </c>
      <c r="M115" s="3"/>
      <c r="N115" s="3"/>
      <c r="O115" s="3"/>
    </row>
    <row r="116" customFormat="false" ht="15" hidden="false" customHeight="false" outlineLevel="0" collapsed="false">
      <c r="A116" s="2"/>
      <c r="B116" s="3"/>
      <c r="C116" s="3"/>
      <c r="D116" s="3"/>
      <c r="E116" s="3"/>
      <c r="F116" s="4"/>
      <c r="G116" s="4"/>
      <c r="H116" s="4"/>
      <c r="I116" s="4"/>
      <c r="J116" s="4"/>
      <c r="K116" s="5" t="str">
        <f aca="false">IF(OR(F116="",H116="",I116=""),"",IF(D116="Long",(H116-F116)/F116*I116,(F116-H116)/F116*I116))</f>
        <v/>
      </c>
      <c r="L116" s="6" t="str">
        <f aca="false">IF(OR(K116="",J116="",J116=0),"",K116/J116)</f>
        <v/>
      </c>
      <c r="M116" s="3"/>
      <c r="N116" s="3"/>
      <c r="O116" s="3"/>
    </row>
    <row r="117" customFormat="false" ht="15" hidden="false" customHeight="false" outlineLevel="0" collapsed="false">
      <c r="A117" s="2"/>
      <c r="B117" s="3"/>
      <c r="C117" s="3"/>
      <c r="D117" s="3"/>
      <c r="E117" s="3"/>
      <c r="F117" s="4"/>
      <c r="G117" s="4"/>
      <c r="H117" s="4"/>
      <c r="I117" s="4"/>
      <c r="J117" s="4"/>
      <c r="K117" s="5" t="str">
        <f aca="false">IF(OR(F117="",H117="",I117=""),"",IF(D117="Long",(H117-F117)/F117*I117,(F117-H117)/F117*I117))</f>
        <v/>
      </c>
      <c r="L117" s="6" t="str">
        <f aca="false">IF(OR(K117="",J117="",J117=0),"",K117/J117)</f>
        <v/>
      </c>
      <c r="M117" s="3"/>
      <c r="N117" s="3"/>
      <c r="O117" s="3"/>
    </row>
    <row r="118" customFormat="false" ht="15" hidden="false" customHeight="false" outlineLevel="0" collapsed="false">
      <c r="A118" s="2"/>
      <c r="B118" s="3"/>
      <c r="C118" s="3"/>
      <c r="D118" s="3"/>
      <c r="E118" s="3"/>
      <c r="F118" s="4"/>
      <c r="G118" s="4"/>
      <c r="H118" s="4"/>
      <c r="I118" s="4"/>
      <c r="J118" s="4"/>
      <c r="K118" s="5" t="str">
        <f aca="false">IF(OR(F118="",H118="",I118=""),"",IF(D118="Long",(H118-F118)/F118*I118,(F118-H118)/F118*I118))</f>
        <v/>
      </c>
      <c r="L118" s="6" t="str">
        <f aca="false">IF(OR(K118="",J118="",J118=0),"",K118/J118)</f>
        <v/>
      </c>
      <c r="M118" s="3"/>
      <c r="N118" s="3"/>
      <c r="O118" s="3"/>
    </row>
    <row r="119" customFormat="false" ht="15" hidden="false" customHeight="false" outlineLevel="0" collapsed="false">
      <c r="A119" s="2"/>
      <c r="B119" s="3"/>
      <c r="C119" s="3"/>
      <c r="D119" s="3"/>
      <c r="E119" s="3"/>
      <c r="F119" s="4"/>
      <c r="G119" s="4"/>
      <c r="H119" s="4"/>
      <c r="I119" s="4"/>
      <c r="J119" s="4"/>
      <c r="K119" s="5" t="str">
        <f aca="false">IF(OR(F119="",H119="",I119=""),"",IF(D119="Long",(H119-F119)/F119*I119,(F119-H119)/F119*I119))</f>
        <v/>
      </c>
      <c r="L119" s="6" t="str">
        <f aca="false">IF(OR(K119="",J119="",J119=0),"",K119/J119)</f>
        <v/>
      </c>
      <c r="M119" s="3"/>
      <c r="N119" s="3"/>
      <c r="O119" s="3"/>
    </row>
    <row r="120" customFormat="false" ht="15" hidden="false" customHeight="false" outlineLevel="0" collapsed="false">
      <c r="A120" s="2"/>
      <c r="B120" s="3"/>
      <c r="C120" s="3"/>
      <c r="D120" s="3"/>
      <c r="E120" s="3"/>
      <c r="F120" s="4"/>
      <c r="G120" s="4"/>
      <c r="H120" s="4"/>
      <c r="I120" s="4"/>
      <c r="J120" s="4"/>
      <c r="K120" s="5" t="str">
        <f aca="false">IF(OR(F120="",H120="",I120=""),"",IF(D120="Long",(H120-F120)/F120*I120,(F120-H120)/F120*I120))</f>
        <v/>
      </c>
      <c r="L120" s="6" t="str">
        <f aca="false">IF(OR(K120="",J120="",J120=0),"",K120/J120)</f>
        <v/>
      </c>
      <c r="M120" s="3"/>
      <c r="N120" s="3"/>
      <c r="O120" s="3"/>
    </row>
    <row r="121" customFormat="false" ht="15" hidden="false" customHeight="false" outlineLevel="0" collapsed="false">
      <c r="A121" s="2"/>
      <c r="B121" s="3"/>
      <c r="C121" s="3"/>
      <c r="D121" s="3"/>
      <c r="E121" s="3"/>
      <c r="F121" s="4"/>
      <c r="G121" s="4"/>
      <c r="H121" s="4"/>
      <c r="I121" s="4"/>
      <c r="J121" s="4"/>
      <c r="K121" s="5" t="str">
        <f aca="false">IF(OR(F121="",H121="",I121=""),"",IF(D121="Long",(H121-F121)/F121*I121,(F121-H121)/F121*I121))</f>
        <v/>
      </c>
      <c r="L121" s="6" t="str">
        <f aca="false">IF(OR(K121="",J121="",J121=0),"",K121/J121)</f>
        <v/>
      </c>
      <c r="M121" s="3"/>
      <c r="N121" s="3"/>
      <c r="O121" s="3"/>
    </row>
    <row r="122" customFormat="false" ht="15" hidden="false" customHeight="false" outlineLevel="0" collapsed="false">
      <c r="A122" s="2"/>
      <c r="B122" s="3"/>
      <c r="C122" s="3"/>
      <c r="D122" s="3"/>
      <c r="E122" s="3"/>
      <c r="F122" s="4"/>
      <c r="G122" s="4"/>
      <c r="H122" s="4"/>
      <c r="I122" s="4"/>
      <c r="J122" s="4"/>
      <c r="K122" s="5" t="str">
        <f aca="false">IF(OR(F122="",H122="",I122=""),"",IF(D122="Long",(H122-F122)/F122*I122,(F122-H122)/F122*I122))</f>
        <v/>
      </c>
      <c r="L122" s="6" t="str">
        <f aca="false">IF(OR(K122="",J122="",J122=0),"",K122/J122)</f>
        <v/>
      </c>
      <c r="M122" s="3"/>
      <c r="N122" s="3"/>
      <c r="O122" s="3"/>
    </row>
    <row r="123" customFormat="false" ht="15" hidden="false" customHeight="false" outlineLevel="0" collapsed="false">
      <c r="A123" s="2"/>
      <c r="B123" s="3"/>
      <c r="C123" s="3"/>
      <c r="D123" s="3"/>
      <c r="E123" s="3"/>
      <c r="F123" s="4"/>
      <c r="G123" s="4"/>
      <c r="H123" s="4"/>
      <c r="I123" s="4"/>
      <c r="J123" s="4"/>
      <c r="K123" s="5" t="str">
        <f aca="false">IF(OR(F123="",H123="",I123=""),"",IF(D123="Long",(H123-F123)/F123*I123,(F123-H123)/F123*I123))</f>
        <v/>
      </c>
      <c r="L123" s="6" t="str">
        <f aca="false">IF(OR(K123="",J123="",J123=0),"",K123/J123)</f>
        <v/>
      </c>
      <c r="M123" s="3"/>
      <c r="N123" s="3"/>
      <c r="O123" s="3"/>
    </row>
    <row r="124" customFormat="false" ht="15" hidden="false" customHeight="false" outlineLevel="0" collapsed="false">
      <c r="A124" s="2"/>
      <c r="B124" s="3"/>
      <c r="C124" s="3"/>
      <c r="D124" s="3"/>
      <c r="E124" s="3"/>
      <c r="F124" s="4"/>
      <c r="G124" s="4"/>
      <c r="H124" s="4"/>
      <c r="I124" s="4"/>
      <c r="J124" s="4"/>
      <c r="K124" s="5" t="str">
        <f aca="false">IF(OR(F124="",H124="",I124=""),"",IF(D124="Long",(H124-F124)/F124*I124,(F124-H124)/F124*I124))</f>
        <v/>
      </c>
      <c r="L124" s="6" t="str">
        <f aca="false">IF(OR(K124="",J124="",J124=0),"",K124/J124)</f>
        <v/>
      </c>
      <c r="M124" s="3"/>
      <c r="N124" s="3"/>
      <c r="O124" s="3"/>
    </row>
    <row r="125" customFormat="false" ht="15" hidden="false" customHeight="false" outlineLevel="0" collapsed="false">
      <c r="A125" s="2"/>
      <c r="B125" s="3"/>
      <c r="C125" s="3"/>
      <c r="D125" s="3"/>
      <c r="E125" s="3"/>
      <c r="F125" s="4"/>
      <c r="G125" s="4"/>
      <c r="H125" s="4"/>
      <c r="I125" s="4"/>
      <c r="J125" s="4"/>
      <c r="K125" s="5" t="str">
        <f aca="false">IF(OR(F125="",H125="",I125=""),"",IF(D125="Long",(H125-F125)/F125*I125,(F125-H125)/F125*I125))</f>
        <v/>
      </c>
      <c r="L125" s="6" t="str">
        <f aca="false">IF(OR(K125="",J125="",J125=0),"",K125/J125)</f>
        <v/>
      </c>
      <c r="M125" s="3"/>
      <c r="N125" s="3"/>
      <c r="O125" s="3"/>
    </row>
    <row r="126" customFormat="false" ht="15" hidden="false" customHeight="false" outlineLevel="0" collapsed="false">
      <c r="A126" s="2"/>
      <c r="B126" s="3"/>
      <c r="C126" s="3"/>
      <c r="D126" s="3"/>
      <c r="E126" s="3"/>
      <c r="F126" s="4"/>
      <c r="G126" s="4"/>
      <c r="H126" s="4"/>
      <c r="I126" s="4"/>
      <c r="J126" s="4"/>
      <c r="K126" s="5" t="str">
        <f aca="false">IF(OR(F126="",H126="",I126=""),"",IF(D126="Long",(H126-F126)/F126*I126,(F126-H126)/F126*I126))</f>
        <v/>
      </c>
      <c r="L126" s="6" t="str">
        <f aca="false">IF(OR(K126="",J126="",J126=0),"",K126/J126)</f>
        <v/>
      </c>
      <c r="M126" s="3"/>
      <c r="N126" s="3"/>
      <c r="O126" s="3"/>
    </row>
    <row r="127" customFormat="false" ht="15" hidden="false" customHeight="false" outlineLevel="0" collapsed="false">
      <c r="A127" s="2"/>
      <c r="B127" s="3"/>
      <c r="C127" s="3"/>
      <c r="D127" s="3"/>
      <c r="E127" s="3"/>
      <c r="F127" s="4"/>
      <c r="G127" s="4"/>
      <c r="H127" s="4"/>
      <c r="I127" s="4"/>
      <c r="J127" s="4"/>
      <c r="K127" s="5" t="str">
        <f aca="false">IF(OR(F127="",H127="",I127=""),"",IF(D127="Long",(H127-F127)/F127*I127,(F127-H127)/F127*I127))</f>
        <v/>
      </c>
      <c r="L127" s="6" t="str">
        <f aca="false">IF(OR(K127="",J127="",J127=0),"",K127/J127)</f>
        <v/>
      </c>
      <c r="M127" s="3"/>
      <c r="N127" s="3"/>
      <c r="O127" s="3"/>
    </row>
    <row r="128" customFormat="false" ht="15" hidden="false" customHeight="false" outlineLevel="0" collapsed="false">
      <c r="A128" s="2"/>
      <c r="B128" s="3"/>
      <c r="C128" s="3"/>
      <c r="D128" s="3"/>
      <c r="E128" s="3"/>
      <c r="F128" s="4"/>
      <c r="G128" s="4"/>
      <c r="H128" s="4"/>
      <c r="I128" s="4"/>
      <c r="J128" s="4"/>
      <c r="K128" s="5" t="str">
        <f aca="false">IF(OR(F128="",H128="",I128=""),"",IF(D128="Long",(H128-F128)/F128*I128,(F128-H128)/F128*I128))</f>
        <v/>
      </c>
      <c r="L128" s="6" t="str">
        <f aca="false">IF(OR(K128="",J128="",J128=0),"",K128/J128)</f>
        <v/>
      </c>
      <c r="M128" s="3"/>
      <c r="N128" s="3"/>
      <c r="O128" s="3"/>
    </row>
    <row r="129" customFormat="false" ht="15" hidden="false" customHeight="false" outlineLevel="0" collapsed="false">
      <c r="A129" s="2"/>
      <c r="B129" s="3"/>
      <c r="C129" s="3"/>
      <c r="D129" s="3"/>
      <c r="E129" s="3"/>
      <c r="F129" s="4"/>
      <c r="G129" s="4"/>
      <c r="H129" s="4"/>
      <c r="I129" s="4"/>
      <c r="J129" s="4"/>
      <c r="K129" s="5" t="str">
        <f aca="false">IF(OR(F129="",H129="",I129=""),"",IF(D129="Long",(H129-F129)/F129*I129,(F129-H129)/F129*I129))</f>
        <v/>
      </c>
      <c r="L129" s="6" t="str">
        <f aca="false">IF(OR(K129="",J129="",J129=0),"",K129/J129)</f>
        <v/>
      </c>
      <c r="M129" s="3"/>
      <c r="N129" s="3"/>
      <c r="O129" s="3"/>
    </row>
    <row r="130" customFormat="false" ht="15" hidden="false" customHeight="false" outlineLevel="0" collapsed="false">
      <c r="A130" s="2"/>
      <c r="B130" s="3"/>
      <c r="C130" s="3"/>
      <c r="D130" s="3"/>
      <c r="E130" s="3"/>
      <c r="F130" s="4"/>
      <c r="G130" s="4"/>
      <c r="H130" s="4"/>
      <c r="I130" s="4"/>
      <c r="J130" s="4"/>
      <c r="K130" s="5" t="str">
        <f aca="false">IF(OR(F130="",H130="",I130=""),"",IF(D130="Long",(H130-F130)/F130*I130,(F130-H130)/F130*I130))</f>
        <v/>
      </c>
      <c r="L130" s="6" t="str">
        <f aca="false">IF(OR(K130="",J130="",J130=0),"",K130/J130)</f>
        <v/>
      </c>
      <c r="M130" s="3"/>
      <c r="N130" s="3"/>
      <c r="O130" s="3"/>
    </row>
    <row r="131" customFormat="false" ht="15" hidden="false" customHeight="false" outlineLevel="0" collapsed="false">
      <c r="A131" s="2"/>
      <c r="B131" s="3"/>
      <c r="C131" s="3"/>
      <c r="D131" s="3"/>
      <c r="E131" s="3"/>
      <c r="F131" s="4"/>
      <c r="G131" s="4"/>
      <c r="H131" s="4"/>
      <c r="I131" s="4"/>
      <c r="J131" s="4"/>
      <c r="K131" s="5" t="str">
        <f aca="false">IF(OR(F131="",H131="",I131=""),"",IF(D131="Long",(H131-F131)/F131*I131,(F131-H131)/F131*I131))</f>
        <v/>
      </c>
      <c r="L131" s="6" t="str">
        <f aca="false">IF(OR(K131="",J131="",J131=0),"",K131/J131)</f>
        <v/>
      </c>
      <c r="M131" s="3"/>
      <c r="N131" s="3"/>
      <c r="O131" s="3"/>
    </row>
    <row r="132" customFormat="false" ht="15" hidden="false" customHeight="false" outlineLevel="0" collapsed="false">
      <c r="A132" s="2"/>
      <c r="B132" s="3"/>
      <c r="C132" s="3"/>
      <c r="D132" s="3"/>
      <c r="E132" s="3"/>
      <c r="F132" s="4"/>
      <c r="G132" s="4"/>
      <c r="H132" s="4"/>
      <c r="I132" s="4"/>
      <c r="J132" s="4"/>
      <c r="K132" s="5" t="str">
        <f aca="false">IF(OR(F132="",H132="",I132=""),"",IF(D132="Long",(H132-F132)/F132*I132,(F132-H132)/F132*I132))</f>
        <v/>
      </c>
      <c r="L132" s="6" t="str">
        <f aca="false">IF(OR(K132="",J132="",J132=0),"",K132/J132)</f>
        <v/>
      </c>
      <c r="M132" s="3"/>
      <c r="N132" s="3"/>
      <c r="O132" s="3"/>
    </row>
    <row r="133" customFormat="false" ht="15" hidden="false" customHeight="false" outlineLevel="0" collapsed="false">
      <c r="A133" s="2"/>
      <c r="B133" s="3"/>
      <c r="C133" s="3"/>
      <c r="D133" s="3"/>
      <c r="E133" s="3"/>
      <c r="F133" s="4"/>
      <c r="G133" s="4"/>
      <c r="H133" s="4"/>
      <c r="I133" s="4"/>
      <c r="J133" s="4"/>
      <c r="K133" s="5" t="str">
        <f aca="false">IF(OR(F133="",H133="",I133=""),"",IF(D133="Long",(H133-F133)/F133*I133,(F133-H133)/F133*I133))</f>
        <v/>
      </c>
      <c r="L133" s="6" t="str">
        <f aca="false">IF(OR(K133="",J133="",J133=0),"",K133/J133)</f>
        <v/>
      </c>
      <c r="M133" s="3"/>
      <c r="N133" s="3"/>
      <c r="O133" s="3"/>
    </row>
    <row r="134" customFormat="false" ht="15" hidden="false" customHeight="false" outlineLevel="0" collapsed="false">
      <c r="A134" s="2"/>
      <c r="B134" s="3"/>
      <c r="C134" s="3"/>
      <c r="D134" s="3"/>
      <c r="E134" s="3"/>
      <c r="F134" s="4"/>
      <c r="G134" s="4"/>
      <c r="H134" s="4"/>
      <c r="I134" s="4"/>
      <c r="J134" s="4"/>
      <c r="K134" s="5" t="str">
        <f aca="false">IF(OR(F134="",H134="",I134=""),"",IF(D134="Long",(H134-F134)/F134*I134,(F134-H134)/F134*I134))</f>
        <v/>
      </c>
      <c r="L134" s="6" t="str">
        <f aca="false">IF(OR(K134="",J134="",J134=0),"",K134/J134)</f>
        <v/>
      </c>
      <c r="M134" s="3"/>
      <c r="N134" s="3"/>
      <c r="O134" s="3"/>
    </row>
    <row r="135" customFormat="false" ht="15" hidden="false" customHeight="false" outlineLevel="0" collapsed="false">
      <c r="A135" s="2"/>
      <c r="B135" s="3"/>
      <c r="C135" s="3"/>
      <c r="D135" s="3"/>
      <c r="E135" s="3"/>
      <c r="F135" s="4"/>
      <c r="G135" s="4"/>
      <c r="H135" s="4"/>
      <c r="I135" s="4"/>
      <c r="J135" s="4"/>
      <c r="K135" s="5" t="str">
        <f aca="false">IF(OR(F135="",H135="",I135=""),"",IF(D135="Long",(H135-F135)/F135*I135,(F135-H135)/F135*I135))</f>
        <v/>
      </c>
      <c r="L135" s="6" t="str">
        <f aca="false">IF(OR(K135="",J135="",J135=0),"",K135/J135)</f>
        <v/>
      </c>
      <c r="M135" s="3"/>
      <c r="N135" s="3"/>
      <c r="O135" s="3"/>
    </row>
    <row r="136" customFormat="false" ht="15" hidden="false" customHeight="false" outlineLevel="0" collapsed="false">
      <c r="A136" s="2"/>
      <c r="B136" s="3"/>
      <c r="C136" s="3"/>
      <c r="D136" s="3"/>
      <c r="E136" s="3"/>
      <c r="F136" s="4"/>
      <c r="G136" s="4"/>
      <c r="H136" s="4"/>
      <c r="I136" s="4"/>
      <c r="J136" s="4"/>
      <c r="K136" s="5" t="str">
        <f aca="false">IF(OR(F136="",H136="",I136=""),"",IF(D136="Long",(H136-F136)/F136*I136,(F136-H136)/F136*I136))</f>
        <v/>
      </c>
      <c r="L136" s="6" t="str">
        <f aca="false">IF(OR(K136="",J136="",J136=0),"",K136/J136)</f>
        <v/>
      </c>
      <c r="M136" s="3"/>
      <c r="N136" s="3"/>
      <c r="O136" s="3"/>
    </row>
    <row r="137" customFormat="false" ht="15" hidden="false" customHeight="false" outlineLevel="0" collapsed="false">
      <c r="A137" s="2"/>
      <c r="B137" s="3"/>
      <c r="C137" s="3"/>
      <c r="D137" s="3"/>
      <c r="E137" s="3"/>
      <c r="F137" s="4"/>
      <c r="G137" s="4"/>
      <c r="H137" s="4"/>
      <c r="I137" s="4"/>
      <c r="J137" s="4"/>
      <c r="K137" s="5" t="str">
        <f aca="false">IF(OR(F137="",H137="",I137=""),"",IF(D137="Long",(H137-F137)/F137*I137,(F137-H137)/F137*I137))</f>
        <v/>
      </c>
      <c r="L137" s="6" t="str">
        <f aca="false">IF(OR(K137="",J137="",J137=0),"",K137/J137)</f>
        <v/>
      </c>
      <c r="M137" s="3"/>
      <c r="N137" s="3"/>
      <c r="O137" s="3"/>
    </row>
    <row r="138" customFormat="false" ht="15" hidden="false" customHeight="false" outlineLevel="0" collapsed="false">
      <c r="A138" s="2"/>
      <c r="B138" s="3"/>
      <c r="C138" s="3"/>
      <c r="D138" s="3"/>
      <c r="E138" s="3"/>
      <c r="F138" s="4"/>
      <c r="G138" s="4"/>
      <c r="H138" s="4"/>
      <c r="I138" s="4"/>
      <c r="J138" s="4"/>
      <c r="K138" s="5" t="str">
        <f aca="false">IF(OR(F138="",H138="",I138=""),"",IF(D138="Long",(H138-F138)/F138*I138,(F138-H138)/F138*I138))</f>
        <v/>
      </c>
      <c r="L138" s="6" t="str">
        <f aca="false">IF(OR(K138="",J138="",J138=0),"",K138/J138)</f>
        <v/>
      </c>
      <c r="M138" s="3"/>
      <c r="N138" s="3"/>
      <c r="O138" s="3"/>
    </row>
    <row r="139" customFormat="false" ht="15" hidden="false" customHeight="false" outlineLevel="0" collapsed="false">
      <c r="A139" s="2"/>
      <c r="B139" s="3"/>
      <c r="C139" s="3"/>
      <c r="D139" s="3"/>
      <c r="E139" s="3"/>
      <c r="F139" s="4"/>
      <c r="G139" s="4"/>
      <c r="H139" s="4"/>
      <c r="I139" s="4"/>
      <c r="J139" s="4"/>
      <c r="K139" s="5" t="str">
        <f aca="false">IF(OR(F139="",H139="",I139=""),"",IF(D139="Long",(H139-F139)/F139*I139,(F139-H139)/F139*I139))</f>
        <v/>
      </c>
      <c r="L139" s="6" t="str">
        <f aca="false">IF(OR(K139="",J139="",J139=0),"",K139/J139)</f>
        <v/>
      </c>
      <c r="M139" s="3"/>
      <c r="N139" s="3"/>
      <c r="O139" s="3"/>
    </row>
    <row r="140" customFormat="false" ht="15" hidden="false" customHeight="false" outlineLevel="0" collapsed="false">
      <c r="A140" s="2"/>
      <c r="B140" s="3"/>
      <c r="C140" s="3"/>
      <c r="D140" s="3"/>
      <c r="E140" s="3"/>
      <c r="F140" s="4"/>
      <c r="G140" s="4"/>
      <c r="H140" s="4"/>
      <c r="I140" s="4"/>
      <c r="J140" s="4"/>
      <c r="K140" s="5" t="str">
        <f aca="false">IF(OR(F140="",H140="",I140=""),"",IF(D140="Long",(H140-F140)/F140*I140,(F140-H140)/F140*I140))</f>
        <v/>
      </c>
      <c r="L140" s="6" t="str">
        <f aca="false">IF(OR(K140="",J140="",J140=0),"",K140/J140)</f>
        <v/>
      </c>
      <c r="M140" s="3"/>
      <c r="N140" s="3"/>
      <c r="O140" s="3"/>
    </row>
    <row r="141" customFormat="false" ht="15" hidden="false" customHeight="false" outlineLevel="0" collapsed="false">
      <c r="A141" s="2"/>
      <c r="B141" s="3"/>
      <c r="C141" s="3"/>
      <c r="D141" s="3"/>
      <c r="E141" s="3"/>
      <c r="F141" s="4"/>
      <c r="G141" s="4"/>
      <c r="H141" s="4"/>
      <c r="I141" s="4"/>
      <c r="J141" s="4"/>
      <c r="K141" s="5" t="str">
        <f aca="false">IF(OR(F141="",H141="",I141=""),"",IF(D141="Long",(H141-F141)/F141*I141,(F141-H141)/F141*I141))</f>
        <v/>
      </c>
      <c r="L141" s="6" t="str">
        <f aca="false">IF(OR(K141="",J141="",J141=0),"",K141/J141)</f>
        <v/>
      </c>
      <c r="M141" s="3"/>
      <c r="N141" s="3"/>
      <c r="O141" s="3"/>
    </row>
    <row r="142" customFormat="false" ht="15" hidden="false" customHeight="false" outlineLevel="0" collapsed="false">
      <c r="A142" s="2"/>
      <c r="B142" s="3"/>
      <c r="C142" s="3"/>
      <c r="D142" s="3"/>
      <c r="E142" s="3"/>
      <c r="F142" s="4"/>
      <c r="G142" s="4"/>
      <c r="H142" s="4"/>
      <c r="I142" s="4"/>
      <c r="J142" s="4"/>
      <c r="K142" s="5" t="str">
        <f aca="false">IF(OR(F142="",H142="",I142=""),"",IF(D142="Long",(H142-F142)/F142*I142,(F142-H142)/F142*I142))</f>
        <v/>
      </c>
      <c r="L142" s="6" t="str">
        <f aca="false">IF(OR(K142="",J142="",J142=0),"",K142/J142)</f>
        <v/>
      </c>
      <c r="M142" s="3"/>
      <c r="N142" s="3"/>
      <c r="O142" s="3"/>
    </row>
    <row r="143" customFormat="false" ht="15" hidden="false" customHeight="false" outlineLevel="0" collapsed="false">
      <c r="A143" s="2"/>
      <c r="B143" s="3"/>
      <c r="C143" s="3"/>
      <c r="D143" s="3"/>
      <c r="E143" s="3"/>
      <c r="F143" s="4"/>
      <c r="G143" s="4"/>
      <c r="H143" s="4"/>
      <c r="I143" s="4"/>
      <c r="J143" s="4"/>
      <c r="K143" s="5" t="str">
        <f aca="false">IF(OR(F143="",H143="",I143=""),"",IF(D143="Long",(H143-F143)/F143*I143,(F143-H143)/F143*I143))</f>
        <v/>
      </c>
      <c r="L143" s="6" t="str">
        <f aca="false">IF(OR(K143="",J143="",J143=0),"",K143/J143)</f>
        <v/>
      </c>
      <c r="M143" s="3"/>
      <c r="N143" s="3"/>
      <c r="O143" s="3"/>
    </row>
    <row r="144" customFormat="false" ht="15" hidden="false" customHeight="false" outlineLevel="0" collapsed="false">
      <c r="A144" s="2"/>
      <c r="B144" s="3"/>
      <c r="C144" s="3"/>
      <c r="D144" s="3"/>
      <c r="E144" s="3"/>
      <c r="F144" s="4"/>
      <c r="G144" s="4"/>
      <c r="H144" s="4"/>
      <c r="I144" s="4"/>
      <c r="J144" s="4"/>
      <c r="K144" s="5" t="str">
        <f aca="false">IF(OR(F144="",H144="",I144=""),"",IF(D144="Long",(H144-F144)/F144*I144,(F144-H144)/F144*I144))</f>
        <v/>
      </c>
      <c r="L144" s="6" t="str">
        <f aca="false">IF(OR(K144="",J144="",J144=0),"",K144/J144)</f>
        <v/>
      </c>
      <c r="M144" s="3"/>
      <c r="N144" s="3"/>
      <c r="O144" s="3"/>
    </row>
    <row r="145" customFormat="false" ht="15" hidden="false" customHeight="false" outlineLevel="0" collapsed="false">
      <c r="A145" s="2"/>
      <c r="B145" s="3"/>
      <c r="C145" s="3"/>
      <c r="D145" s="3"/>
      <c r="E145" s="3"/>
      <c r="F145" s="4"/>
      <c r="G145" s="4"/>
      <c r="H145" s="4"/>
      <c r="I145" s="4"/>
      <c r="J145" s="4"/>
      <c r="K145" s="5" t="str">
        <f aca="false">IF(OR(F145="",H145="",I145=""),"",IF(D145="Long",(H145-F145)/F145*I145,(F145-H145)/F145*I145))</f>
        <v/>
      </c>
      <c r="L145" s="6" t="str">
        <f aca="false">IF(OR(K145="",J145="",J145=0),"",K145/J145)</f>
        <v/>
      </c>
      <c r="M145" s="3"/>
      <c r="N145" s="3"/>
      <c r="O145" s="3"/>
    </row>
    <row r="146" customFormat="false" ht="15" hidden="false" customHeight="false" outlineLevel="0" collapsed="false">
      <c r="A146" s="2"/>
      <c r="B146" s="3"/>
      <c r="C146" s="3"/>
      <c r="D146" s="3"/>
      <c r="E146" s="3"/>
      <c r="F146" s="4"/>
      <c r="G146" s="4"/>
      <c r="H146" s="4"/>
      <c r="I146" s="4"/>
      <c r="J146" s="4"/>
      <c r="K146" s="5" t="str">
        <f aca="false">IF(OR(F146="",H146="",I146=""),"",IF(D146="Long",(H146-F146)/F146*I146,(F146-H146)/F146*I146))</f>
        <v/>
      </c>
      <c r="L146" s="6" t="str">
        <f aca="false">IF(OR(K146="",J146="",J146=0),"",K146/J146)</f>
        <v/>
      </c>
      <c r="M146" s="3"/>
      <c r="N146" s="3"/>
      <c r="O146" s="3"/>
    </row>
    <row r="147" customFormat="false" ht="15" hidden="false" customHeight="false" outlineLevel="0" collapsed="false">
      <c r="A147" s="2"/>
      <c r="B147" s="3"/>
      <c r="C147" s="3"/>
      <c r="D147" s="3"/>
      <c r="E147" s="3"/>
      <c r="F147" s="4"/>
      <c r="G147" s="4"/>
      <c r="H147" s="4"/>
      <c r="I147" s="4"/>
      <c r="J147" s="4"/>
      <c r="K147" s="5" t="str">
        <f aca="false">IF(OR(F147="",H147="",I147=""),"",IF(D147="Long",(H147-F147)/F147*I147,(F147-H147)/F147*I147))</f>
        <v/>
      </c>
      <c r="L147" s="6" t="str">
        <f aca="false">IF(OR(K147="",J147="",J147=0),"",K147/J147)</f>
        <v/>
      </c>
      <c r="M147" s="3"/>
      <c r="N147" s="3"/>
      <c r="O147" s="3"/>
    </row>
    <row r="148" customFormat="false" ht="15" hidden="false" customHeight="false" outlineLevel="0" collapsed="false">
      <c r="A148" s="2"/>
      <c r="B148" s="3"/>
      <c r="C148" s="3"/>
      <c r="D148" s="3"/>
      <c r="E148" s="3"/>
      <c r="F148" s="4"/>
      <c r="G148" s="4"/>
      <c r="H148" s="4"/>
      <c r="I148" s="4"/>
      <c r="J148" s="4"/>
      <c r="K148" s="5" t="str">
        <f aca="false">IF(OR(F148="",H148="",I148=""),"",IF(D148="Long",(H148-F148)/F148*I148,(F148-H148)/F148*I148))</f>
        <v/>
      </c>
      <c r="L148" s="6" t="str">
        <f aca="false">IF(OR(K148="",J148="",J148=0),"",K148/J148)</f>
        <v/>
      </c>
      <c r="M148" s="3"/>
      <c r="N148" s="3"/>
      <c r="O148" s="3"/>
    </row>
    <row r="149" customFormat="false" ht="15" hidden="false" customHeight="false" outlineLevel="0" collapsed="false">
      <c r="A149" s="2"/>
      <c r="B149" s="3"/>
      <c r="C149" s="3"/>
      <c r="D149" s="3"/>
      <c r="E149" s="3"/>
      <c r="F149" s="4"/>
      <c r="G149" s="4"/>
      <c r="H149" s="4"/>
      <c r="I149" s="4"/>
      <c r="J149" s="4"/>
      <c r="K149" s="5" t="str">
        <f aca="false">IF(OR(F149="",H149="",I149=""),"",IF(D149="Long",(H149-F149)/F149*I149,(F149-H149)/F149*I149))</f>
        <v/>
      </c>
      <c r="L149" s="6" t="str">
        <f aca="false">IF(OR(K149="",J149="",J149=0),"",K149/J149)</f>
        <v/>
      </c>
      <c r="M149" s="3"/>
      <c r="N149" s="3"/>
      <c r="O149" s="3"/>
    </row>
    <row r="150" customFormat="false" ht="15" hidden="false" customHeight="false" outlineLevel="0" collapsed="false">
      <c r="A150" s="2"/>
      <c r="B150" s="3"/>
      <c r="C150" s="3"/>
      <c r="D150" s="3"/>
      <c r="E150" s="3"/>
      <c r="F150" s="4"/>
      <c r="G150" s="4"/>
      <c r="H150" s="4"/>
      <c r="I150" s="4"/>
      <c r="J150" s="4"/>
      <c r="K150" s="5" t="str">
        <f aca="false">IF(OR(F150="",H150="",I150=""),"",IF(D150="Long",(H150-F150)/F150*I150,(F150-H150)/F150*I150))</f>
        <v/>
      </c>
      <c r="L150" s="6" t="str">
        <f aca="false">IF(OR(K150="",J150="",J150=0),"",K150/J150)</f>
        <v/>
      </c>
      <c r="M150" s="3"/>
      <c r="N150" s="3"/>
      <c r="O150" s="3"/>
    </row>
    <row r="151" customFormat="false" ht="15" hidden="false" customHeight="false" outlineLevel="0" collapsed="false">
      <c r="A151" s="2"/>
      <c r="B151" s="3"/>
      <c r="C151" s="3"/>
      <c r="D151" s="3"/>
      <c r="E151" s="3"/>
      <c r="F151" s="4"/>
      <c r="G151" s="4"/>
      <c r="H151" s="4"/>
      <c r="I151" s="4"/>
      <c r="J151" s="4"/>
      <c r="K151" s="5" t="str">
        <f aca="false">IF(OR(F151="",H151="",I151=""),"",IF(D151="Long",(H151-F151)/F151*I151,(F151-H151)/F151*I151))</f>
        <v/>
      </c>
      <c r="L151" s="6" t="str">
        <f aca="false">IF(OR(K151="",J151="",J151=0),"",K151/J151)</f>
        <v/>
      </c>
      <c r="M151" s="3"/>
      <c r="N151" s="3"/>
      <c r="O151" s="3"/>
    </row>
    <row r="152" customFormat="false" ht="15" hidden="false" customHeight="false" outlineLevel="0" collapsed="false">
      <c r="A152" s="2"/>
      <c r="B152" s="3"/>
      <c r="C152" s="3"/>
      <c r="D152" s="3"/>
      <c r="E152" s="3"/>
      <c r="F152" s="4"/>
      <c r="G152" s="4"/>
      <c r="H152" s="4"/>
      <c r="I152" s="4"/>
      <c r="J152" s="4"/>
      <c r="K152" s="5" t="str">
        <f aca="false">IF(OR(F152="",H152="",I152=""),"",IF(D152="Long",(H152-F152)/F152*I152,(F152-H152)/F152*I152))</f>
        <v/>
      </c>
      <c r="L152" s="6" t="str">
        <f aca="false">IF(OR(K152="",J152="",J152=0),"",K152/J152)</f>
        <v/>
      </c>
      <c r="M152" s="3"/>
      <c r="N152" s="3"/>
      <c r="O152" s="3"/>
    </row>
    <row r="153" customFormat="false" ht="15" hidden="false" customHeight="false" outlineLevel="0" collapsed="false">
      <c r="A153" s="2"/>
      <c r="B153" s="3"/>
      <c r="C153" s="3"/>
      <c r="D153" s="3"/>
      <c r="E153" s="3"/>
      <c r="F153" s="4"/>
      <c r="G153" s="4"/>
      <c r="H153" s="4"/>
      <c r="I153" s="4"/>
      <c r="J153" s="4"/>
      <c r="K153" s="5" t="str">
        <f aca="false">IF(OR(F153="",H153="",I153=""),"",IF(D153="Long",(H153-F153)/F153*I153,(F153-H153)/F153*I153))</f>
        <v/>
      </c>
      <c r="L153" s="6" t="str">
        <f aca="false">IF(OR(K153="",J153="",J153=0),"",K153/J153)</f>
        <v/>
      </c>
      <c r="M153" s="3"/>
      <c r="N153" s="3"/>
      <c r="O153" s="3"/>
    </row>
    <row r="154" customFormat="false" ht="15" hidden="false" customHeight="false" outlineLevel="0" collapsed="false">
      <c r="A154" s="2"/>
      <c r="B154" s="3"/>
      <c r="C154" s="3"/>
      <c r="D154" s="3"/>
      <c r="E154" s="3"/>
      <c r="F154" s="4"/>
      <c r="G154" s="4"/>
      <c r="H154" s="4"/>
      <c r="I154" s="4"/>
      <c r="J154" s="4"/>
      <c r="K154" s="5" t="str">
        <f aca="false">IF(OR(F154="",H154="",I154=""),"",IF(D154="Long",(H154-F154)/F154*I154,(F154-H154)/F154*I154))</f>
        <v/>
      </c>
      <c r="L154" s="6" t="str">
        <f aca="false">IF(OR(K154="",J154="",J154=0),"",K154/J154)</f>
        <v/>
      </c>
      <c r="M154" s="3"/>
      <c r="N154" s="3"/>
      <c r="O154" s="3"/>
    </row>
    <row r="155" customFormat="false" ht="15" hidden="false" customHeight="false" outlineLevel="0" collapsed="false">
      <c r="A155" s="2"/>
      <c r="B155" s="3"/>
      <c r="C155" s="3"/>
      <c r="D155" s="3"/>
      <c r="E155" s="3"/>
      <c r="F155" s="4"/>
      <c r="G155" s="4"/>
      <c r="H155" s="4"/>
      <c r="I155" s="4"/>
      <c r="J155" s="4"/>
      <c r="K155" s="5" t="str">
        <f aca="false">IF(OR(F155="",H155="",I155=""),"",IF(D155="Long",(H155-F155)/F155*I155,(F155-H155)/F155*I155))</f>
        <v/>
      </c>
      <c r="L155" s="6" t="str">
        <f aca="false">IF(OR(K155="",J155="",J155=0),"",K155/J155)</f>
        <v/>
      </c>
      <c r="M155" s="3"/>
      <c r="N155" s="3"/>
      <c r="O155" s="3"/>
    </row>
    <row r="156" customFormat="false" ht="15" hidden="false" customHeight="false" outlineLevel="0" collapsed="false">
      <c r="A156" s="2"/>
      <c r="B156" s="3"/>
      <c r="C156" s="3"/>
      <c r="D156" s="3"/>
      <c r="E156" s="3"/>
      <c r="F156" s="4"/>
      <c r="G156" s="4"/>
      <c r="H156" s="4"/>
      <c r="I156" s="4"/>
      <c r="J156" s="4"/>
      <c r="K156" s="5" t="str">
        <f aca="false">IF(OR(F156="",H156="",I156=""),"",IF(D156="Long",(H156-F156)/F156*I156,(F156-H156)/F156*I156))</f>
        <v/>
      </c>
      <c r="L156" s="6" t="str">
        <f aca="false">IF(OR(K156="",J156="",J156=0),"",K156/J156)</f>
        <v/>
      </c>
      <c r="M156" s="3"/>
      <c r="N156" s="3"/>
      <c r="O156" s="3"/>
    </row>
    <row r="157" customFormat="false" ht="15" hidden="false" customHeight="false" outlineLevel="0" collapsed="false">
      <c r="A157" s="2"/>
      <c r="B157" s="3"/>
      <c r="C157" s="3"/>
      <c r="D157" s="3"/>
      <c r="E157" s="3"/>
      <c r="F157" s="4"/>
      <c r="G157" s="4"/>
      <c r="H157" s="4"/>
      <c r="I157" s="4"/>
      <c r="J157" s="4"/>
      <c r="K157" s="5" t="str">
        <f aca="false">IF(OR(F157="",H157="",I157=""),"",IF(D157="Long",(H157-F157)/F157*I157,(F157-H157)/F157*I157))</f>
        <v/>
      </c>
      <c r="L157" s="6" t="str">
        <f aca="false">IF(OR(K157="",J157="",J157=0),"",K157/J157)</f>
        <v/>
      </c>
      <c r="M157" s="3"/>
      <c r="N157" s="3"/>
      <c r="O157" s="3"/>
    </row>
    <row r="158" customFormat="false" ht="15" hidden="false" customHeight="false" outlineLevel="0" collapsed="false">
      <c r="A158" s="2"/>
      <c r="B158" s="3"/>
      <c r="C158" s="3"/>
      <c r="D158" s="3"/>
      <c r="E158" s="3"/>
      <c r="F158" s="4"/>
      <c r="G158" s="4"/>
      <c r="H158" s="4"/>
      <c r="I158" s="4"/>
      <c r="J158" s="4"/>
      <c r="K158" s="5" t="str">
        <f aca="false">IF(OR(F158="",H158="",I158=""),"",IF(D158="Long",(H158-F158)/F158*I158,(F158-H158)/F158*I158))</f>
        <v/>
      </c>
      <c r="L158" s="6" t="str">
        <f aca="false">IF(OR(K158="",J158="",J158=0),"",K158/J158)</f>
        <v/>
      </c>
      <c r="M158" s="3"/>
      <c r="N158" s="3"/>
      <c r="O158" s="3"/>
    </row>
    <row r="159" customFormat="false" ht="15" hidden="false" customHeight="false" outlineLevel="0" collapsed="false">
      <c r="A159" s="2"/>
      <c r="B159" s="3"/>
      <c r="C159" s="3"/>
      <c r="D159" s="3"/>
      <c r="E159" s="3"/>
      <c r="F159" s="4"/>
      <c r="G159" s="4"/>
      <c r="H159" s="4"/>
      <c r="I159" s="4"/>
      <c r="J159" s="4"/>
      <c r="K159" s="5" t="str">
        <f aca="false">IF(OR(F159="",H159="",I159=""),"",IF(D159="Long",(H159-F159)/F159*I159,(F159-H159)/F159*I159))</f>
        <v/>
      </c>
      <c r="L159" s="6" t="str">
        <f aca="false">IF(OR(K159="",J159="",J159=0),"",K159/J159)</f>
        <v/>
      </c>
      <c r="M159" s="3"/>
      <c r="N159" s="3"/>
      <c r="O159" s="3"/>
    </row>
    <row r="160" customFormat="false" ht="15" hidden="false" customHeight="false" outlineLevel="0" collapsed="false">
      <c r="A160" s="2"/>
      <c r="B160" s="3"/>
      <c r="C160" s="3"/>
      <c r="D160" s="3"/>
      <c r="E160" s="3"/>
      <c r="F160" s="4"/>
      <c r="G160" s="4"/>
      <c r="H160" s="4"/>
      <c r="I160" s="4"/>
      <c r="J160" s="4"/>
      <c r="K160" s="5" t="str">
        <f aca="false">IF(OR(F160="",H160="",I160=""),"",IF(D160="Long",(H160-F160)/F160*I160,(F160-H160)/F160*I160))</f>
        <v/>
      </c>
      <c r="L160" s="6" t="str">
        <f aca="false">IF(OR(K160="",J160="",J160=0),"",K160/J160)</f>
        <v/>
      </c>
      <c r="M160" s="3"/>
      <c r="N160" s="3"/>
      <c r="O160" s="3"/>
    </row>
    <row r="161" customFormat="false" ht="15" hidden="false" customHeight="false" outlineLevel="0" collapsed="false">
      <c r="A161" s="2"/>
      <c r="B161" s="3"/>
      <c r="C161" s="3"/>
      <c r="D161" s="3"/>
      <c r="E161" s="3"/>
      <c r="F161" s="4"/>
      <c r="G161" s="4"/>
      <c r="H161" s="4"/>
      <c r="I161" s="4"/>
      <c r="J161" s="4"/>
      <c r="K161" s="5" t="str">
        <f aca="false">IF(OR(F161="",H161="",I161=""),"",IF(D161="Long",(H161-F161)/F161*I161,(F161-H161)/F161*I161))</f>
        <v/>
      </c>
      <c r="L161" s="6" t="str">
        <f aca="false">IF(OR(K161="",J161="",J161=0),"",K161/J161)</f>
        <v/>
      </c>
      <c r="M161" s="3"/>
      <c r="N161" s="3"/>
      <c r="O161" s="3"/>
    </row>
    <row r="162" customFormat="false" ht="15" hidden="false" customHeight="false" outlineLevel="0" collapsed="false">
      <c r="A162" s="2"/>
      <c r="B162" s="3"/>
      <c r="C162" s="3"/>
      <c r="D162" s="3"/>
      <c r="E162" s="3"/>
      <c r="F162" s="4"/>
      <c r="G162" s="4"/>
      <c r="H162" s="4"/>
      <c r="I162" s="4"/>
      <c r="J162" s="4"/>
      <c r="K162" s="5" t="str">
        <f aca="false">IF(OR(F162="",H162="",I162=""),"",IF(D162="Long",(H162-F162)/F162*I162,(F162-H162)/F162*I162))</f>
        <v/>
      </c>
      <c r="L162" s="6" t="str">
        <f aca="false">IF(OR(K162="",J162="",J162=0),"",K162/J162)</f>
        <v/>
      </c>
      <c r="M162" s="3"/>
      <c r="N162" s="3"/>
      <c r="O162" s="3"/>
    </row>
    <row r="163" customFormat="false" ht="15" hidden="false" customHeight="false" outlineLevel="0" collapsed="false">
      <c r="A163" s="2"/>
      <c r="B163" s="3"/>
      <c r="C163" s="3"/>
      <c r="D163" s="3"/>
      <c r="E163" s="3"/>
      <c r="F163" s="4"/>
      <c r="G163" s="4"/>
      <c r="H163" s="4"/>
      <c r="I163" s="4"/>
      <c r="J163" s="4"/>
      <c r="K163" s="5" t="str">
        <f aca="false">IF(OR(F163="",H163="",I163=""),"",IF(D163="Long",(H163-F163)/F163*I163,(F163-H163)/F163*I163))</f>
        <v/>
      </c>
      <c r="L163" s="6" t="str">
        <f aca="false">IF(OR(K163="",J163="",J163=0),"",K163/J163)</f>
        <v/>
      </c>
      <c r="M163" s="3"/>
      <c r="N163" s="3"/>
      <c r="O163" s="3"/>
    </row>
    <row r="164" customFormat="false" ht="15" hidden="false" customHeight="false" outlineLevel="0" collapsed="false">
      <c r="A164" s="2"/>
      <c r="B164" s="3"/>
      <c r="C164" s="3"/>
      <c r="D164" s="3"/>
      <c r="E164" s="3"/>
      <c r="F164" s="4"/>
      <c r="G164" s="4"/>
      <c r="H164" s="4"/>
      <c r="I164" s="4"/>
      <c r="J164" s="4"/>
      <c r="K164" s="5" t="str">
        <f aca="false">IF(OR(F164="",H164="",I164=""),"",IF(D164="Long",(H164-F164)/F164*I164,(F164-H164)/F164*I164))</f>
        <v/>
      </c>
      <c r="L164" s="6" t="str">
        <f aca="false">IF(OR(K164="",J164="",J164=0),"",K164/J164)</f>
        <v/>
      </c>
      <c r="M164" s="3"/>
      <c r="N164" s="3"/>
      <c r="O164" s="3"/>
    </row>
    <row r="165" customFormat="false" ht="15" hidden="false" customHeight="false" outlineLevel="0" collapsed="false">
      <c r="A165" s="2"/>
      <c r="B165" s="3"/>
      <c r="C165" s="3"/>
      <c r="D165" s="3"/>
      <c r="E165" s="3"/>
      <c r="F165" s="4"/>
      <c r="G165" s="4"/>
      <c r="H165" s="4"/>
      <c r="I165" s="4"/>
      <c r="J165" s="4"/>
      <c r="K165" s="5" t="str">
        <f aca="false">IF(OR(F165="",H165="",I165=""),"",IF(D165="Long",(H165-F165)/F165*I165,(F165-H165)/F165*I165))</f>
        <v/>
      </c>
      <c r="L165" s="6" t="str">
        <f aca="false">IF(OR(K165="",J165="",J165=0),"",K165/J165)</f>
        <v/>
      </c>
      <c r="M165" s="3"/>
      <c r="N165" s="3"/>
      <c r="O165" s="3"/>
    </row>
    <row r="166" customFormat="false" ht="15" hidden="false" customHeight="false" outlineLevel="0" collapsed="false">
      <c r="A166" s="2"/>
      <c r="B166" s="3"/>
      <c r="C166" s="3"/>
      <c r="D166" s="3"/>
      <c r="E166" s="3"/>
      <c r="F166" s="4"/>
      <c r="G166" s="4"/>
      <c r="H166" s="4"/>
      <c r="I166" s="4"/>
      <c r="J166" s="4"/>
      <c r="K166" s="5" t="str">
        <f aca="false">IF(OR(F166="",H166="",I166=""),"",IF(D166="Long",(H166-F166)/F166*I166,(F166-H166)/F166*I166))</f>
        <v/>
      </c>
      <c r="L166" s="6" t="str">
        <f aca="false">IF(OR(K166="",J166="",J166=0),"",K166/J166)</f>
        <v/>
      </c>
      <c r="M166" s="3"/>
      <c r="N166" s="3"/>
      <c r="O166" s="3"/>
    </row>
    <row r="167" customFormat="false" ht="15" hidden="false" customHeight="false" outlineLevel="0" collapsed="false">
      <c r="A167" s="2"/>
      <c r="B167" s="3"/>
      <c r="C167" s="3"/>
      <c r="D167" s="3"/>
      <c r="E167" s="3"/>
      <c r="F167" s="4"/>
      <c r="G167" s="4"/>
      <c r="H167" s="4"/>
      <c r="I167" s="4"/>
      <c r="J167" s="4"/>
      <c r="K167" s="5" t="str">
        <f aca="false">IF(OR(F167="",H167="",I167=""),"",IF(D167="Long",(H167-F167)/F167*I167,(F167-H167)/F167*I167))</f>
        <v/>
      </c>
      <c r="L167" s="6" t="str">
        <f aca="false">IF(OR(K167="",J167="",J167=0),"",K167/J167)</f>
        <v/>
      </c>
      <c r="M167" s="3"/>
      <c r="N167" s="3"/>
      <c r="O167" s="3"/>
    </row>
    <row r="168" customFormat="false" ht="15" hidden="false" customHeight="false" outlineLevel="0" collapsed="false">
      <c r="A168" s="2"/>
      <c r="B168" s="3"/>
      <c r="C168" s="3"/>
      <c r="D168" s="3"/>
      <c r="E168" s="3"/>
      <c r="F168" s="4"/>
      <c r="G168" s="4"/>
      <c r="H168" s="4"/>
      <c r="I168" s="4"/>
      <c r="J168" s="4"/>
      <c r="K168" s="5" t="str">
        <f aca="false">IF(OR(F168="",H168="",I168=""),"",IF(D168="Long",(H168-F168)/F168*I168,(F168-H168)/F168*I168))</f>
        <v/>
      </c>
      <c r="L168" s="6" t="str">
        <f aca="false">IF(OR(K168="",J168="",J168=0),"",K168/J168)</f>
        <v/>
      </c>
      <c r="M168" s="3"/>
      <c r="N168" s="3"/>
      <c r="O168" s="3"/>
    </row>
    <row r="169" customFormat="false" ht="15" hidden="false" customHeight="false" outlineLevel="0" collapsed="false">
      <c r="A169" s="2"/>
      <c r="B169" s="3"/>
      <c r="C169" s="3"/>
      <c r="D169" s="3"/>
      <c r="E169" s="3"/>
      <c r="F169" s="4"/>
      <c r="G169" s="4"/>
      <c r="H169" s="4"/>
      <c r="I169" s="4"/>
      <c r="J169" s="4"/>
      <c r="K169" s="5" t="str">
        <f aca="false">IF(OR(F169="",H169="",I169=""),"",IF(D169="Long",(H169-F169)/F169*I169,(F169-H169)/F169*I169))</f>
        <v/>
      </c>
      <c r="L169" s="6" t="str">
        <f aca="false">IF(OR(K169="",J169="",J169=0),"",K169/J169)</f>
        <v/>
      </c>
      <c r="M169" s="3"/>
      <c r="N169" s="3"/>
      <c r="O169" s="3"/>
    </row>
    <row r="170" customFormat="false" ht="15" hidden="false" customHeight="false" outlineLevel="0" collapsed="false">
      <c r="A170" s="2"/>
      <c r="B170" s="3"/>
      <c r="C170" s="3"/>
      <c r="D170" s="3"/>
      <c r="E170" s="3"/>
      <c r="F170" s="4"/>
      <c r="G170" s="4"/>
      <c r="H170" s="4"/>
      <c r="I170" s="4"/>
      <c r="J170" s="4"/>
      <c r="K170" s="5" t="str">
        <f aca="false">IF(OR(F170="",H170="",I170=""),"",IF(D170="Long",(H170-F170)/F170*I170,(F170-H170)/F170*I170))</f>
        <v/>
      </c>
      <c r="L170" s="6" t="str">
        <f aca="false">IF(OR(K170="",J170="",J170=0),"",K170/J170)</f>
        <v/>
      </c>
      <c r="M170" s="3"/>
      <c r="N170" s="3"/>
      <c r="O170" s="3"/>
    </row>
    <row r="171" customFormat="false" ht="15" hidden="false" customHeight="false" outlineLevel="0" collapsed="false">
      <c r="A171" s="2"/>
      <c r="B171" s="3"/>
      <c r="C171" s="3"/>
      <c r="D171" s="3"/>
      <c r="E171" s="3"/>
      <c r="F171" s="4"/>
      <c r="G171" s="4"/>
      <c r="H171" s="4"/>
      <c r="I171" s="4"/>
      <c r="J171" s="4"/>
      <c r="K171" s="5" t="str">
        <f aca="false">IF(OR(F171="",H171="",I171=""),"",IF(D171="Long",(H171-F171)/F171*I171,(F171-H171)/F171*I171))</f>
        <v/>
      </c>
      <c r="L171" s="6" t="str">
        <f aca="false">IF(OR(K171="",J171="",J171=0),"",K171/J171)</f>
        <v/>
      </c>
      <c r="M171" s="3"/>
      <c r="N171" s="3"/>
      <c r="O171" s="3"/>
    </row>
    <row r="172" customFormat="false" ht="15" hidden="false" customHeight="false" outlineLevel="0" collapsed="false">
      <c r="A172" s="2"/>
      <c r="B172" s="3"/>
      <c r="C172" s="3"/>
      <c r="D172" s="3"/>
      <c r="E172" s="3"/>
      <c r="F172" s="4"/>
      <c r="G172" s="4"/>
      <c r="H172" s="4"/>
      <c r="I172" s="4"/>
      <c r="J172" s="4"/>
      <c r="K172" s="5" t="str">
        <f aca="false">IF(OR(F172="",H172="",I172=""),"",IF(D172="Long",(H172-F172)/F172*I172,(F172-H172)/F172*I172))</f>
        <v/>
      </c>
      <c r="L172" s="6" t="str">
        <f aca="false">IF(OR(K172="",J172="",J172=0),"",K172/J172)</f>
        <v/>
      </c>
      <c r="M172" s="3"/>
      <c r="N172" s="3"/>
      <c r="O172" s="3"/>
    </row>
    <row r="173" customFormat="false" ht="15" hidden="false" customHeight="false" outlineLevel="0" collapsed="false">
      <c r="A173" s="2"/>
      <c r="B173" s="3"/>
      <c r="C173" s="3"/>
      <c r="D173" s="3"/>
      <c r="E173" s="3"/>
      <c r="F173" s="4"/>
      <c r="G173" s="4"/>
      <c r="H173" s="4"/>
      <c r="I173" s="4"/>
      <c r="J173" s="4"/>
      <c r="K173" s="5" t="str">
        <f aca="false">IF(OR(F173="",H173="",I173=""),"",IF(D173="Long",(H173-F173)/F173*I173,(F173-H173)/F173*I173))</f>
        <v/>
      </c>
      <c r="L173" s="6" t="str">
        <f aca="false">IF(OR(K173="",J173="",J173=0),"",K173/J173)</f>
        <v/>
      </c>
      <c r="M173" s="3"/>
      <c r="N173" s="3"/>
      <c r="O173" s="3"/>
    </row>
    <row r="174" customFormat="false" ht="15" hidden="false" customHeight="false" outlineLevel="0" collapsed="false">
      <c r="A174" s="2"/>
      <c r="B174" s="3"/>
      <c r="C174" s="3"/>
      <c r="D174" s="3"/>
      <c r="E174" s="3"/>
      <c r="F174" s="4"/>
      <c r="G174" s="4"/>
      <c r="H174" s="4"/>
      <c r="I174" s="4"/>
      <c r="J174" s="4"/>
      <c r="K174" s="5" t="str">
        <f aca="false">IF(OR(F174="",H174="",I174=""),"",IF(D174="Long",(H174-F174)/F174*I174,(F174-H174)/F174*I174))</f>
        <v/>
      </c>
      <c r="L174" s="6" t="str">
        <f aca="false">IF(OR(K174="",J174="",J174=0),"",K174/J174)</f>
        <v/>
      </c>
      <c r="M174" s="3"/>
      <c r="N174" s="3"/>
      <c r="O174" s="3"/>
    </row>
    <row r="175" customFormat="false" ht="15" hidden="false" customHeight="false" outlineLevel="0" collapsed="false">
      <c r="A175" s="2"/>
      <c r="B175" s="3"/>
      <c r="C175" s="3"/>
      <c r="D175" s="3"/>
      <c r="E175" s="3"/>
      <c r="F175" s="4"/>
      <c r="G175" s="4"/>
      <c r="H175" s="4"/>
      <c r="I175" s="4"/>
      <c r="J175" s="4"/>
      <c r="K175" s="5" t="str">
        <f aca="false">IF(OR(F175="",H175="",I175=""),"",IF(D175="Long",(H175-F175)/F175*I175,(F175-H175)/F175*I175))</f>
        <v/>
      </c>
      <c r="L175" s="6" t="str">
        <f aca="false">IF(OR(K175="",J175="",J175=0),"",K175/J175)</f>
        <v/>
      </c>
      <c r="M175" s="3"/>
      <c r="N175" s="3"/>
      <c r="O175" s="3"/>
    </row>
    <row r="176" customFormat="false" ht="15" hidden="false" customHeight="false" outlineLevel="0" collapsed="false">
      <c r="A176" s="2"/>
      <c r="B176" s="3"/>
      <c r="C176" s="3"/>
      <c r="D176" s="3"/>
      <c r="E176" s="3"/>
      <c r="F176" s="4"/>
      <c r="G176" s="4"/>
      <c r="H176" s="4"/>
      <c r="I176" s="4"/>
      <c r="J176" s="4"/>
      <c r="K176" s="5" t="str">
        <f aca="false">IF(OR(F176="",H176="",I176=""),"",IF(D176="Long",(H176-F176)/F176*I176,(F176-H176)/F176*I176))</f>
        <v/>
      </c>
      <c r="L176" s="6" t="str">
        <f aca="false">IF(OR(K176="",J176="",J176=0),"",K176/J176)</f>
        <v/>
      </c>
      <c r="M176" s="3"/>
      <c r="N176" s="3"/>
      <c r="O176" s="3"/>
    </row>
    <row r="177" customFormat="false" ht="15" hidden="false" customHeight="false" outlineLevel="0" collapsed="false">
      <c r="A177" s="2"/>
      <c r="B177" s="3"/>
      <c r="C177" s="3"/>
      <c r="D177" s="3"/>
      <c r="E177" s="3"/>
      <c r="F177" s="4"/>
      <c r="G177" s="4"/>
      <c r="H177" s="4"/>
      <c r="I177" s="4"/>
      <c r="J177" s="4"/>
      <c r="K177" s="5" t="str">
        <f aca="false">IF(OR(F177="",H177="",I177=""),"",IF(D177="Long",(H177-F177)/F177*I177,(F177-H177)/F177*I177))</f>
        <v/>
      </c>
      <c r="L177" s="6" t="str">
        <f aca="false">IF(OR(K177="",J177="",J177=0),"",K177/J177)</f>
        <v/>
      </c>
      <c r="M177" s="3"/>
      <c r="N177" s="3"/>
      <c r="O177" s="3"/>
    </row>
    <row r="178" customFormat="false" ht="15" hidden="false" customHeight="false" outlineLevel="0" collapsed="false">
      <c r="A178" s="2"/>
      <c r="B178" s="3"/>
      <c r="C178" s="3"/>
      <c r="D178" s="3"/>
      <c r="E178" s="3"/>
      <c r="F178" s="4"/>
      <c r="G178" s="4"/>
      <c r="H178" s="4"/>
      <c r="I178" s="4"/>
      <c r="J178" s="4"/>
      <c r="K178" s="5" t="str">
        <f aca="false">IF(OR(F178="",H178="",I178=""),"",IF(D178="Long",(H178-F178)/F178*I178,(F178-H178)/F178*I178))</f>
        <v/>
      </c>
      <c r="L178" s="6" t="str">
        <f aca="false">IF(OR(K178="",J178="",J178=0),"",K178/J178)</f>
        <v/>
      </c>
      <c r="M178" s="3"/>
      <c r="N178" s="3"/>
      <c r="O178" s="3"/>
    </row>
    <row r="179" customFormat="false" ht="15" hidden="false" customHeight="false" outlineLevel="0" collapsed="false">
      <c r="A179" s="2"/>
      <c r="B179" s="3"/>
      <c r="C179" s="3"/>
      <c r="D179" s="3"/>
      <c r="E179" s="3"/>
      <c r="F179" s="4"/>
      <c r="G179" s="4"/>
      <c r="H179" s="4"/>
      <c r="I179" s="4"/>
      <c r="J179" s="4"/>
      <c r="K179" s="5" t="str">
        <f aca="false">IF(OR(F179="",H179="",I179=""),"",IF(D179="Long",(H179-F179)/F179*I179,(F179-H179)/F179*I179))</f>
        <v/>
      </c>
      <c r="L179" s="6" t="str">
        <f aca="false">IF(OR(K179="",J179="",J179=0),"",K179/J179)</f>
        <v/>
      </c>
      <c r="M179" s="3"/>
      <c r="N179" s="3"/>
      <c r="O179" s="3"/>
    </row>
    <row r="180" customFormat="false" ht="15" hidden="false" customHeight="false" outlineLevel="0" collapsed="false">
      <c r="A180" s="2"/>
      <c r="B180" s="3"/>
      <c r="C180" s="3"/>
      <c r="D180" s="3"/>
      <c r="E180" s="3"/>
      <c r="F180" s="4"/>
      <c r="G180" s="4"/>
      <c r="H180" s="4"/>
      <c r="I180" s="4"/>
      <c r="J180" s="4"/>
      <c r="K180" s="5" t="str">
        <f aca="false">IF(OR(F180="",H180="",I180=""),"",IF(D180="Long",(H180-F180)/F180*I180,(F180-H180)/F180*I180))</f>
        <v/>
      </c>
      <c r="L180" s="6" t="str">
        <f aca="false">IF(OR(K180="",J180="",J180=0),"",K180/J180)</f>
        <v/>
      </c>
      <c r="M180" s="3"/>
      <c r="N180" s="3"/>
      <c r="O180" s="3"/>
    </row>
    <row r="181" customFormat="false" ht="15" hidden="false" customHeight="false" outlineLevel="0" collapsed="false">
      <c r="A181" s="2"/>
      <c r="B181" s="3"/>
      <c r="C181" s="3"/>
      <c r="D181" s="3"/>
      <c r="E181" s="3"/>
      <c r="F181" s="4"/>
      <c r="G181" s="4"/>
      <c r="H181" s="4"/>
      <c r="I181" s="4"/>
      <c r="J181" s="4"/>
      <c r="K181" s="5" t="str">
        <f aca="false">IF(OR(F181="",H181="",I181=""),"",IF(D181="Long",(H181-F181)/F181*I181,(F181-H181)/F181*I181))</f>
        <v/>
      </c>
      <c r="L181" s="6" t="str">
        <f aca="false">IF(OR(K181="",J181="",J181=0),"",K181/J181)</f>
        <v/>
      </c>
      <c r="M181" s="3"/>
      <c r="N181" s="3"/>
      <c r="O181" s="3"/>
    </row>
    <row r="182" customFormat="false" ht="15" hidden="false" customHeight="false" outlineLevel="0" collapsed="false">
      <c r="A182" s="2"/>
      <c r="B182" s="3"/>
      <c r="C182" s="3"/>
      <c r="D182" s="3"/>
      <c r="E182" s="3"/>
      <c r="F182" s="4"/>
      <c r="G182" s="4"/>
      <c r="H182" s="4"/>
      <c r="I182" s="4"/>
      <c r="J182" s="4"/>
      <c r="K182" s="5" t="str">
        <f aca="false">IF(OR(F182="",H182="",I182=""),"",IF(D182="Long",(H182-F182)/F182*I182,(F182-H182)/F182*I182))</f>
        <v/>
      </c>
      <c r="L182" s="6" t="str">
        <f aca="false">IF(OR(K182="",J182="",J182=0),"",K182/J182)</f>
        <v/>
      </c>
      <c r="M182" s="3"/>
      <c r="N182" s="3"/>
      <c r="O182" s="3"/>
    </row>
    <row r="183" customFormat="false" ht="15" hidden="false" customHeight="false" outlineLevel="0" collapsed="false">
      <c r="A183" s="2"/>
      <c r="B183" s="3"/>
      <c r="C183" s="3"/>
      <c r="D183" s="3"/>
      <c r="E183" s="3"/>
      <c r="F183" s="4"/>
      <c r="G183" s="4"/>
      <c r="H183" s="4"/>
      <c r="I183" s="4"/>
      <c r="J183" s="4"/>
      <c r="K183" s="5" t="str">
        <f aca="false">IF(OR(F183="",H183="",I183=""),"",IF(D183="Long",(H183-F183)/F183*I183,(F183-H183)/F183*I183))</f>
        <v/>
      </c>
      <c r="L183" s="6" t="str">
        <f aca="false">IF(OR(K183="",J183="",J183=0),"",K183/J183)</f>
        <v/>
      </c>
      <c r="M183" s="3"/>
      <c r="N183" s="3"/>
      <c r="O183" s="3"/>
    </row>
    <row r="184" customFormat="false" ht="15" hidden="false" customHeight="false" outlineLevel="0" collapsed="false">
      <c r="A184" s="2"/>
      <c r="B184" s="3"/>
      <c r="C184" s="3"/>
      <c r="D184" s="3"/>
      <c r="E184" s="3"/>
      <c r="F184" s="4"/>
      <c r="G184" s="4"/>
      <c r="H184" s="4"/>
      <c r="I184" s="4"/>
      <c r="J184" s="4"/>
      <c r="K184" s="5" t="str">
        <f aca="false">IF(OR(F184="",H184="",I184=""),"",IF(D184="Long",(H184-F184)/F184*I184,(F184-H184)/F184*I184))</f>
        <v/>
      </c>
      <c r="L184" s="6" t="str">
        <f aca="false">IF(OR(K184="",J184="",J184=0),"",K184/J184)</f>
        <v/>
      </c>
      <c r="M184" s="3"/>
      <c r="N184" s="3"/>
      <c r="O184" s="3"/>
    </row>
    <row r="185" customFormat="false" ht="15" hidden="false" customHeight="false" outlineLevel="0" collapsed="false">
      <c r="A185" s="2"/>
      <c r="B185" s="3"/>
      <c r="C185" s="3"/>
      <c r="D185" s="3"/>
      <c r="E185" s="3"/>
      <c r="F185" s="4"/>
      <c r="G185" s="4"/>
      <c r="H185" s="4"/>
      <c r="I185" s="4"/>
      <c r="J185" s="4"/>
      <c r="K185" s="5" t="str">
        <f aca="false">IF(OR(F185="",H185="",I185=""),"",IF(D185="Long",(H185-F185)/F185*I185,(F185-H185)/F185*I185))</f>
        <v/>
      </c>
      <c r="L185" s="6" t="str">
        <f aca="false">IF(OR(K185="",J185="",J185=0),"",K185/J185)</f>
        <v/>
      </c>
      <c r="M185" s="3"/>
      <c r="N185" s="3"/>
      <c r="O185" s="3"/>
    </row>
    <row r="186" customFormat="false" ht="15" hidden="false" customHeight="false" outlineLevel="0" collapsed="false">
      <c r="A186" s="2"/>
      <c r="B186" s="3"/>
      <c r="C186" s="3"/>
      <c r="D186" s="3"/>
      <c r="E186" s="3"/>
      <c r="F186" s="4"/>
      <c r="G186" s="4"/>
      <c r="H186" s="4"/>
      <c r="I186" s="4"/>
      <c r="J186" s="4"/>
      <c r="K186" s="5" t="str">
        <f aca="false">IF(OR(F186="",H186="",I186=""),"",IF(D186="Long",(H186-F186)/F186*I186,(F186-H186)/F186*I186))</f>
        <v/>
      </c>
      <c r="L186" s="6" t="str">
        <f aca="false">IF(OR(K186="",J186="",J186=0),"",K186/J186)</f>
        <v/>
      </c>
      <c r="M186" s="3"/>
      <c r="N186" s="3"/>
      <c r="O186" s="3"/>
    </row>
    <row r="187" customFormat="false" ht="15" hidden="false" customHeight="false" outlineLevel="0" collapsed="false">
      <c r="A187" s="2"/>
      <c r="B187" s="3"/>
      <c r="C187" s="3"/>
      <c r="D187" s="3"/>
      <c r="E187" s="3"/>
      <c r="F187" s="4"/>
      <c r="G187" s="4"/>
      <c r="H187" s="4"/>
      <c r="I187" s="4"/>
      <c r="J187" s="4"/>
      <c r="K187" s="5" t="str">
        <f aca="false">IF(OR(F187="",H187="",I187=""),"",IF(D187="Long",(H187-F187)/F187*I187,(F187-H187)/F187*I187))</f>
        <v/>
      </c>
      <c r="L187" s="6" t="str">
        <f aca="false">IF(OR(K187="",J187="",J187=0),"",K187/J187)</f>
        <v/>
      </c>
      <c r="M187" s="3"/>
      <c r="N187" s="3"/>
      <c r="O187" s="3"/>
    </row>
    <row r="188" customFormat="false" ht="15" hidden="false" customHeight="false" outlineLevel="0" collapsed="false">
      <c r="A188" s="2"/>
      <c r="B188" s="3"/>
      <c r="C188" s="3"/>
      <c r="D188" s="3"/>
      <c r="E188" s="3"/>
      <c r="F188" s="4"/>
      <c r="G188" s="4"/>
      <c r="H188" s="4"/>
      <c r="I188" s="4"/>
      <c r="J188" s="4"/>
      <c r="K188" s="5" t="str">
        <f aca="false">IF(OR(F188="",H188="",I188=""),"",IF(D188="Long",(H188-F188)/F188*I188,(F188-H188)/F188*I188))</f>
        <v/>
      </c>
      <c r="L188" s="6" t="str">
        <f aca="false">IF(OR(K188="",J188="",J188=0),"",K188/J188)</f>
        <v/>
      </c>
      <c r="M188" s="3"/>
      <c r="N188" s="3"/>
      <c r="O188" s="3"/>
    </row>
    <row r="189" customFormat="false" ht="15" hidden="false" customHeight="false" outlineLevel="0" collapsed="false">
      <c r="A189" s="2"/>
      <c r="B189" s="3"/>
      <c r="C189" s="3"/>
      <c r="D189" s="3"/>
      <c r="E189" s="3"/>
      <c r="F189" s="4"/>
      <c r="G189" s="4"/>
      <c r="H189" s="4"/>
      <c r="I189" s="4"/>
      <c r="J189" s="4"/>
      <c r="K189" s="5" t="str">
        <f aca="false">IF(OR(F189="",H189="",I189=""),"",IF(D189="Long",(H189-F189)/F189*I189,(F189-H189)/F189*I189))</f>
        <v/>
      </c>
      <c r="L189" s="6" t="str">
        <f aca="false">IF(OR(K189="",J189="",J189=0),"",K189/J189)</f>
        <v/>
      </c>
      <c r="M189" s="3"/>
      <c r="N189" s="3"/>
      <c r="O189" s="3"/>
    </row>
    <row r="190" customFormat="false" ht="15" hidden="false" customHeight="false" outlineLevel="0" collapsed="false">
      <c r="A190" s="2"/>
      <c r="B190" s="3"/>
      <c r="C190" s="3"/>
      <c r="D190" s="3"/>
      <c r="E190" s="3"/>
      <c r="F190" s="4"/>
      <c r="G190" s="4"/>
      <c r="H190" s="4"/>
      <c r="I190" s="4"/>
      <c r="J190" s="4"/>
      <c r="K190" s="5" t="str">
        <f aca="false">IF(OR(F190="",H190="",I190=""),"",IF(D190="Long",(H190-F190)/F190*I190,(F190-H190)/F190*I190))</f>
        <v/>
      </c>
      <c r="L190" s="6" t="str">
        <f aca="false">IF(OR(K190="",J190="",J190=0),"",K190/J190)</f>
        <v/>
      </c>
      <c r="M190" s="3"/>
      <c r="N190" s="3"/>
      <c r="O190" s="3"/>
    </row>
    <row r="191" customFormat="false" ht="15" hidden="false" customHeight="false" outlineLevel="0" collapsed="false">
      <c r="A191" s="2"/>
      <c r="B191" s="3"/>
      <c r="C191" s="3"/>
      <c r="D191" s="3"/>
      <c r="E191" s="3"/>
      <c r="F191" s="4"/>
      <c r="G191" s="4"/>
      <c r="H191" s="4"/>
      <c r="I191" s="4"/>
      <c r="J191" s="4"/>
      <c r="K191" s="5" t="str">
        <f aca="false">IF(OR(F191="",H191="",I191=""),"",IF(D191="Long",(H191-F191)/F191*I191,(F191-H191)/F191*I191))</f>
        <v/>
      </c>
      <c r="L191" s="6" t="str">
        <f aca="false">IF(OR(K191="",J191="",J191=0),"",K191/J191)</f>
        <v/>
      </c>
      <c r="M191" s="3"/>
      <c r="N191" s="3"/>
      <c r="O191" s="3"/>
    </row>
    <row r="192" customFormat="false" ht="15" hidden="false" customHeight="false" outlineLevel="0" collapsed="false">
      <c r="A192" s="2"/>
      <c r="B192" s="3"/>
      <c r="C192" s="3"/>
      <c r="D192" s="3"/>
      <c r="E192" s="3"/>
      <c r="F192" s="4"/>
      <c r="G192" s="4"/>
      <c r="H192" s="4"/>
      <c r="I192" s="4"/>
      <c r="J192" s="4"/>
      <c r="K192" s="5" t="str">
        <f aca="false">IF(OR(F192="",H192="",I192=""),"",IF(D192="Long",(H192-F192)/F192*I192,(F192-H192)/F192*I192))</f>
        <v/>
      </c>
      <c r="L192" s="6" t="str">
        <f aca="false">IF(OR(K192="",J192="",J192=0),"",K192/J192)</f>
        <v/>
      </c>
      <c r="M192" s="3"/>
      <c r="N192" s="3"/>
      <c r="O192" s="3"/>
    </row>
    <row r="193" customFormat="false" ht="15" hidden="false" customHeight="false" outlineLevel="0" collapsed="false">
      <c r="A193" s="2"/>
      <c r="B193" s="3"/>
      <c r="C193" s="3"/>
      <c r="D193" s="3"/>
      <c r="E193" s="3"/>
      <c r="F193" s="4"/>
      <c r="G193" s="4"/>
      <c r="H193" s="4"/>
      <c r="I193" s="4"/>
      <c r="J193" s="4"/>
      <c r="K193" s="5" t="str">
        <f aca="false">IF(OR(F193="",H193="",I193=""),"",IF(D193="Long",(H193-F193)/F193*I193,(F193-H193)/F193*I193))</f>
        <v/>
      </c>
      <c r="L193" s="6" t="str">
        <f aca="false">IF(OR(K193="",J193="",J193=0),"",K193/J193)</f>
        <v/>
      </c>
      <c r="M193" s="3"/>
      <c r="N193" s="3"/>
      <c r="O193" s="3"/>
    </row>
    <row r="194" customFormat="false" ht="15" hidden="false" customHeight="false" outlineLevel="0" collapsed="false">
      <c r="A194" s="2"/>
      <c r="B194" s="3"/>
      <c r="C194" s="3"/>
      <c r="D194" s="3"/>
      <c r="E194" s="3"/>
      <c r="F194" s="4"/>
      <c r="G194" s="4"/>
      <c r="H194" s="4"/>
      <c r="I194" s="4"/>
      <c r="J194" s="4"/>
      <c r="K194" s="5" t="str">
        <f aca="false">IF(OR(F194="",H194="",I194=""),"",IF(D194="Long",(H194-F194)/F194*I194,(F194-H194)/F194*I194))</f>
        <v/>
      </c>
      <c r="L194" s="6" t="str">
        <f aca="false">IF(OR(K194="",J194="",J194=0),"",K194/J194)</f>
        <v/>
      </c>
      <c r="M194" s="3"/>
      <c r="N194" s="3"/>
      <c r="O194" s="3"/>
    </row>
    <row r="195" customFormat="false" ht="15" hidden="false" customHeight="false" outlineLevel="0" collapsed="false">
      <c r="A195" s="2"/>
      <c r="B195" s="3"/>
      <c r="C195" s="3"/>
      <c r="D195" s="3"/>
      <c r="E195" s="3"/>
      <c r="F195" s="4"/>
      <c r="G195" s="4"/>
      <c r="H195" s="4"/>
      <c r="I195" s="4"/>
      <c r="J195" s="4"/>
      <c r="K195" s="5" t="str">
        <f aca="false">IF(OR(F195="",H195="",I195=""),"",IF(D195="Long",(H195-F195)/F195*I195,(F195-H195)/F195*I195))</f>
        <v/>
      </c>
      <c r="L195" s="6" t="str">
        <f aca="false">IF(OR(K195="",J195="",J195=0),"",K195/J195)</f>
        <v/>
      </c>
      <c r="M195" s="3"/>
      <c r="N195" s="3"/>
      <c r="O195" s="3"/>
    </row>
    <row r="196" customFormat="false" ht="15" hidden="false" customHeight="false" outlineLevel="0" collapsed="false">
      <c r="A196" s="2"/>
      <c r="B196" s="3"/>
      <c r="C196" s="3"/>
      <c r="D196" s="3"/>
      <c r="E196" s="3"/>
      <c r="F196" s="4"/>
      <c r="G196" s="4"/>
      <c r="H196" s="4"/>
      <c r="I196" s="4"/>
      <c r="J196" s="4"/>
      <c r="K196" s="5" t="str">
        <f aca="false">IF(OR(F196="",H196="",I196=""),"",IF(D196="Long",(H196-F196)/F196*I196,(F196-H196)/F196*I196))</f>
        <v/>
      </c>
      <c r="L196" s="6" t="str">
        <f aca="false">IF(OR(K196="",J196="",J196=0),"",K196/J196)</f>
        <v/>
      </c>
      <c r="M196" s="3"/>
      <c r="N196" s="3"/>
      <c r="O196" s="3"/>
    </row>
    <row r="197" customFormat="false" ht="15" hidden="false" customHeight="false" outlineLevel="0" collapsed="false">
      <c r="A197" s="2"/>
      <c r="B197" s="3"/>
      <c r="C197" s="3"/>
      <c r="D197" s="3"/>
      <c r="E197" s="3"/>
      <c r="F197" s="4"/>
      <c r="G197" s="4"/>
      <c r="H197" s="4"/>
      <c r="I197" s="4"/>
      <c r="J197" s="4"/>
      <c r="K197" s="5" t="str">
        <f aca="false">IF(OR(F197="",H197="",I197=""),"",IF(D197="Long",(H197-F197)/F197*I197,(F197-H197)/F197*I197))</f>
        <v/>
      </c>
      <c r="L197" s="6" t="str">
        <f aca="false">IF(OR(K197="",J197="",J197=0),"",K197/J197)</f>
        <v/>
      </c>
      <c r="M197" s="3"/>
      <c r="N197" s="3"/>
      <c r="O197" s="3"/>
    </row>
    <row r="198" customFormat="false" ht="15" hidden="false" customHeight="false" outlineLevel="0" collapsed="false">
      <c r="A198" s="2"/>
      <c r="B198" s="3"/>
      <c r="C198" s="3"/>
      <c r="D198" s="3"/>
      <c r="E198" s="3"/>
      <c r="F198" s="4"/>
      <c r="G198" s="4"/>
      <c r="H198" s="4"/>
      <c r="I198" s="4"/>
      <c r="J198" s="4"/>
      <c r="K198" s="5" t="str">
        <f aca="false">IF(OR(F198="",H198="",I198=""),"",IF(D198="Long",(H198-F198)/F198*I198,(F198-H198)/F198*I198))</f>
        <v/>
      </c>
      <c r="L198" s="6" t="str">
        <f aca="false">IF(OR(K198="",J198="",J198=0),"",K198/J198)</f>
        <v/>
      </c>
      <c r="M198" s="3"/>
      <c r="N198" s="3"/>
      <c r="O198" s="3"/>
    </row>
    <row r="199" customFormat="false" ht="15" hidden="false" customHeight="false" outlineLevel="0" collapsed="false">
      <c r="A199" s="2"/>
      <c r="B199" s="3"/>
      <c r="C199" s="3"/>
      <c r="D199" s="3"/>
      <c r="E199" s="3"/>
      <c r="F199" s="4"/>
      <c r="G199" s="4"/>
      <c r="H199" s="4"/>
      <c r="I199" s="4"/>
      <c r="J199" s="4"/>
      <c r="K199" s="5" t="str">
        <f aca="false">IF(OR(F199="",H199="",I199=""),"",IF(D199="Long",(H199-F199)/F199*I199,(F199-H199)/F199*I199))</f>
        <v/>
      </c>
      <c r="L199" s="6" t="str">
        <f aca="false">IF(OR(K199="",J199="",J199=0),"",K199/J199)</f>
        <v/>
      </c>
      <c r="M199" s="3"/>
      <c r="N199" s="3"/>
      <c r="O199" s="3"/>
    </row>
    <row r="200" customFormat="false" ht="15" hidden="false" customHeight="false" outlineLevel="0" collapsed="false">
      <c r="A200" s="2"/>
      <c r="B200" s="3"/>
      <c r="C200" s="3"/>
      <c r="D200" s="3"/>
      <c r="E200" s="3"/>
      <c r="F200" s="4"/>
      <c r="G200" s="4"/>
      <c r="H200" s="4"/>
      <c r="I200" s="4"/>
      <c r="J200" s="4"/>
      <c r="K200" s="5" t="str">
        <f aca="false">IF(OR(F200="",H200="",I200=""),"",IF(D200="Long",(H200-F200)/F200*I200,(F200-H200)/F200*I200))</f>
        <v/>
      </c>
      <c r="L200" s="6" t="str">
        <f aca="false">IF(OR(K200="",J200="",J200=0),"",K200/J200)</f>
        <v/>
      </c>
      <c r="M200" s="3"/>
      <c r="N200" s="3"/>
      <c r="O200" s="3"/>
    </row>
    <row r="201" customFormat="false" ht="15" hidden="false" customHeight="false" outlineLevel="0" collapsed="false">
      <c r="A201" s="2"/>
      <c r="B201" s="3"/>
      <c r="C201" s="3"/>
      <c r="D201" s="3"/>
      <c r="E201" s="3"/>
      <c r="F201" s="4"/>
      <c r="G201" s="4"/>
      <c r="H201" s="4"/>
      <c r="I201" s="4"/>
      <c r="J201" s="4"/>
      <c r="K201" s="5" t="str">
        <f aca="false">IF(OR(F201="",H201="",I201=""),"",IF(D201="Long",(H201-F201)/F201*I201,(F201-H201)/F201*I201))</f>
        <v/>
      </c>
      <c r="L201" s="6" t="str">
        <f aca="false">IF(OR(K201="",J201="",J201=0),"",K201/J201)</f>
        <v/>
      </c>
      <c r="M201" s="3"/>
      <c r="N201" s="3"/>
      <c r="O201" s="3"/>
    </row>
    <row r="202" customFormat="false" ht="15" hidden="false" customHeight="false" outlineLevel="0" collapsed="false">
      <c r="A202" s="2"/>
      <c r="B202" s="3"/>
      <c r="C202" s="3"/>
      <c r="D202" s="3"/>
      <c r="E202" s="3"/>
      <c r="F202" s="4"/>
      <c r="G202" s="4"/>
      <c r="H202" s="4"/>
      <c r="I202" s="4"/>
      <c r="J202" s="4"/>
      <c r="K202" s="5" t="str">
        <f aca="false">IF(OR(F202="",H202="",I202=""),"",IF(D202="Long",(H202-F202)/F202*I202,(F202-H202)/F202*I202))</f>
        <v/>
      </c>
      <c r="L202" s="6" t="str">
        <f aca="false">IF(OR(K202="",J202="",J202=0),"",K202/J202)</f>
        <v/>
      </c>
      <c r="M202" s="3"/>
      <c r="N202" s="3"/>
      <c r="O202" s="3"/>
    </row>
    <row r="203" customFormat="false" ht="15" hidden="false" customHeight="false" outlineLevel="0" collapsed="false">
      <c r="A203" s="2"/>
      <c r="B203" s="3"/>
      <c r="C203" s="3"/>
      <c r="D203" s="3"/>
      <c r="E203" s="3"/>
      <c r="F203" s="4"/>
      <c r="G203" s="4"/>
      <c r="H203" s="4"/>
      <c r="I203" s="4"/>
      <c r="J203" s="4"/>
      <c r="K203" s="5" t="str">
        <f aca="false">IF(OR(F203="",H203="",I203=""),"",IF(D203="Long",(H203-F203)/F203*I203,(F203-H203)/F203*I203))</f>
        <v/>
      </c>
      <c r="L203" s="6" t="str">
        <f aca="false">IF(OR(K203="",J203="",J203=0),"",K203/J203)</f>
        <v/>
      </c>
      <c r="M203" s="3"/>
      <c r="N203" s="3"/>
      <c r="O203" s="3"/>
    </row>
    <row r="204" customFormat="false" ht="15" hidden="false" customHeight="false" outlineLevel="0" collapsed="false">
      <c r="A204" s="2"/>
      <c r="B204" s="3"/>
      <c r="C204" s="3"/>
      <c r="D204" s="3"/>
      <c r="E204" s="3"/>
      <c r="F204" s="4"/>
      <c r="G204" s="4"/>
      <c r="H204" s="4"/>
      <c r="I204" s="4"/>
      <c r="J204" s="4"/>
      <c r="K204" s="5" t="str">
        <f aca="false">IF(OR(F204="",H204="",I204=""),"",IF(D204="Long",(H204-F204)/F204*I204,(F204-H204)/F204*I204))</f>
        <v/>
      </c>
      <c r="L204" s="6" t="str">
        <f aca="false">IF(OR(K204="",J204="",J204=0),"",K204/J204)</f>
        <v/>
      </c>
      <c r="M204" s="3"/>
      <c r="N204" s="3"/>
      <c r="O204" s="3"/>
    </row>
    <row r="205" customFormat="false" ht="15" hidden="false" customHeight="false" outlineLevel="0" collapsed="false">
      <c r="A205" s="2"/>
      <c r="B205" s="3"/>
      <c r="C205" s="3"/>
      <c r="D205" s="3"/>
      <c r="E205" s="3"/>
      <c r="F205" s="4"/>
      <c r="G205" s="4"/>
      <c r="H205" s="4"/>
      <c r="I205" s="4"/>
      <c r="J205" s="4"/>
      <c r="K205" s="5" t="str">
        <f aca="false">IF(OR(F205="",H205="",I205=""),"",IF(D205="Long",(H205-F205)/F205*I205,(F205-H205)/F205*I205))</f>
        <v/>
      </c>
      <c r="L205" s="6" t="str">
        <f aca="false">IF(OR(K205="",J205="",J205=0),"",K205/J205)</f>
        <v/>
      </c>
      <c r="M205" s="3"/>
      <c r="N205" s="3"/>
      <c r="O205" s="3"/>
    </row>
    <row r="206" customFormat="false" ht="15" hidden="false" customHeight="false" outlineLevel="0" collapsed="false">
      <c r="A206" s="2"/>
      <c r="B206" s="3"/>
      <c r="C206" s="3"/>
      <c r="D206" s="3"/>
      <c r="E206" s="3"/>
      <c r="F206" s="4"/>
      <c r="G206" s="4"/>
      <c r="H206" s="4"/>
      <c r="I206" s="4"/>
      <c r="J206" s="4"/>
      <c r="K206" s="5" t="str">
        <f aca="false">IF(OR(F206="",H206="",I206=""),"",IF(D206="Long",(H206-F206)/F206*I206,(F206-H206)/F206*I206))</f>
        <v/>
      </c>
      <c r="L206" s="6" t="str">
        <f aca="false">IF(OR(K206="",J206="",J206=0),"",K206/J206)</f>
        <v/>
      </c>
      <c r="M206" s="3"/>
      <c r="N206" s="3"/>
      <c r="O206" s="3"/>
    </row>
    <row r="207" customFormat="false" ht="15" hidden="false" customHeight="false" outlineLevel="0" collapsed="false">
      <c r="A207" s="2"/>
      <c r="B207" s="3"/>
      <c r="C207" s="3"/>
      <c r="D207" s="3"/>
      <c r="E207" s="3"/>
      <c r="F207" s="4"/>
      <c r="G207" s="4"/>
      <c r="H207" s="4"/>
      <c r="I207" s="4"/>
      <c r="J207" s="4"/>
      <c r="K207" s="5" t="str">
        <f aca="false">IF(OR(F207="",H207="",I207=""),"",IF(D207="Long",(H207-F207)/F207*I207,(F207-H207)/F207*I207))</f>
        <v/>
      </c>
      <c r="L207" s="6" t="str">
        <f aca="false">IF(OR(K207="",J207="",J207=0),"",K207/J207)</f>
        <v/>
      </c>
      <c r="M207" s="3"/>
      <c r="N207" s="3"/>
      <c r="O207" s="3"/>
    </row>
    <row r="208" customFormat="false" ht="15" hidden="false" customHeight="false" outlineLevel="0" collapsed="false">
      <c r="A208" s="2"/>
      <c r="B208" s="3"/>
      <c r="C208" s="3"/>
      <c r="D208" s="3"/>
      <c r="E208" s="3"/>
      <c r="F208" s="4"/>
      <c r="G208" s="4"/>
      <c r="H208" s="4"/>
      <c r="I208" s="4"/>
      <c r="J208" s="4"/>
      <c r="K208" s="5" t="str">
        <f aca="false">IF(OR(F208="",H208="",I208=""),"",IF(D208="Long",(H208-F208)/F208*I208,(F208-H208)/F208*I208))</f>
        <v/>
      </c>
      <c r="L208" s="6" t="str">
        <f aca="false">IF(OR(K208="",J208="",J208=0),"",K208/J208)</f>
        <v/>
      </c>
      <c r="M208" s="3"/>
      <c r="N208" s="3"/>
      <c r="O208" s="3"/>
    </row>
    <row r="209" customFormat="false" ht="15" hidden="false" customHeight="false" outlineLevel="0" collapsed="false">
      <c r="A209" s="2"/>
      <c r="B209" s="3"/>
      <c r="C209" s="3"/>
      <c r="D209" s="3"/>
      <c r="E209" s="3"/>
      <c r="F209" s="4"/>
      <c r="G209" s="4"/>
      <c r="H209" s="4"/>
      <c r="I209" s="4"/>
      <c r="J209" s="4"/>
      <c r="K209" s="5" t="str">
        <f aca="false">IF(OR(F209="",H209="",I209=""),"",IF(D209="Long",(H209-F209)/F209*I209,(F209-H209)/F209*I209))</f>
        <v/>
      </c>
      <c r="L209" s="6" t="str">
        <f aca="false">IF(OR(K209="",J209="",J209=0),"",K209/J209)</f>
        <v/>
      </c>
      <c r="M209" s="3"/>
      <c r="N209" s="3"/>
      <c r="O209" s="3"/>
    </row>
    <row r="210" customFormat="false" ht="15" hidden="false" customHeight="false" outlineLevel="0" collapsed="false">
      <c r="A210" s="2"/>
      <c r="B210" s="3"/>
      <c r="C210" s="3"/>
      <c r="D210" s="3"/>
      <c r="E210" s="3"/>
      <c r="F210" s="4"/>
      <c r="G210" s="4"/>
      <c r="H210" s="4"/>
      <c r="I210" s="4"/>
      <c r="J210" s="4"/>
      <c r="K210" s="5" t="str">
        <f aca="false">IF(OR(F210="",H210="",I210=""),"",IF(D210="Long",(H210-F210)/F210*I210,(F210-H210)/F210*I210))</f>
        <v/>
      </c>
      <c r="L210" s="6" t="str">
        <f aca="false">IF(OR(K210="",J210="",J210=0),"",K210/J210)</f>
        <v/>
      </c>
      <c r="M210" s="3"/>
      <c r="N210" s="3"/>
      <c r="O210" s="3"/>
    </row>
    <row r="211" customFormat="false" ht="15" hidden="false" customHeight="false" outlineLevel="0" collapsed="false">
      <c r="A211" s="2"/>
      <c r="B211" s="3"/>
      <c r="C211" s="3"/>
      <c r="D211" s="3"/>
      <c r="E211" s="3"/>
      <c r="F211" s="4"/>
      <c r="G211" s="4"/>
      <c r="H211" s="4"/>
      <c r="I211" s="4"/>
      <c r="J211" s="4"/>
      <c r="K211" s="5" t="str">
        <f aca="false">IF(OR(F211="",H211="",I211=""),"",IF(D211="Long",(H211-F211)/F211*I211,(F211-H211)/F211*I211))</f>
        <v/>
      </c>
      <c r="L211" s="6" t="str">
        <f aca="false">IF(OR(K211="",J211="",J211=0),"",K211/J211)</f>
        <v/>
      </c>
      <c r="M211" s="3"/>
      <c r="N211" s="3"/>
      <c r="O211" s="3"/>
    </row>
    <row r="212" customFormat="false" ht="15" hidden="false" customHeight="false" outlineLevel="0" collapsed="false">
      <c r="A212" s="2"/>
      <c r="B212" s="3"/>
      <c r="C212" s="3"/>
      <c r="D212" s="3"/>
      <c r="E212" s="3"/>
      <c r="F212" s="4"/>
      <c r="G212" s="4"/>
      <c r="H212" s="4"/>
      <c r="I212" s="4"/>
      <c r="J212" s="4"/>
      <c r="K212" s="5" t="str">
        <f aca="false">IF(OR(F212="",H212="",I212=""),"",IF(D212="Long",(H212-F212)/F212*I212,(F212-H212)/F212*I212))</f>
        <v/>
      </c>
      <c r="L212" s="6" t="str">
        <f aca="false">IF(OR(K212="",J212="",J212=0),"",K212/J212)</f>
        <v/>
      </c>
      <c r="M212" s="3"/>
      <c r="N212" s="3"/>
      <c r="O212" s="3"/>
    </row>
    <row r="213" customFormat="false" ht="15" hidden="false" customHeight="false" outlineLevel="0" collapsed="false">
      <c r="A213" s="2"/>
      <c r="B213" s="3"/>
      <c r="C213" s="3"/>
      <c r="D213" s="3"/>
      <c r="E213" s="3"/>
      <c r="F213" s="4"/>
      <c r="G213" s="4"/>
      <c r="H213" s="4"/>
      <c r="I213" s="4"/>
      <c r="J213" s="4"/>
      <c r="K213" s="5" t="str">
        <f aca="false">IF(OR(F213="",H213="",I213=""),"",IF(D213="Long",(H213-F213)/F213*I213,(F213-H213)/F213*I213))</f>
        <v/>
      </c>
      <c r="L213" s="6" t="str">
        <f aca="false">IF(OR(K213="",J213="",J213=0),"",K213/J213)</f>
        <v/>
      </c>
      <c r="M213" s="3"/>
      <c r="N213" s="3"/>
      <c r="O213" s="3"/>
    </row>
    <row r="214" customFormat="false" ht="15" hidden="false" customHeight="false" outlineLevel="0" collapsed="false">
      <c r="A214" s="2"/>
      <c r="B214" s="3"/>
      <c r="C214" s="3"/>
      <c r="D214" s="3"/>
      <c r="E214" s="3"/>
      <c r="F214" s="4"/>
      <c r="G214" s="4"/>
      <c r="H214" s="4"/>
      <c r="I214" s="4"/>
      <c r="J214" s="4"/>
      <c r="K214" s="5" t="str">
        <f aca="false">IF(OR(F214="",H214="",I214=""),"",IF(D214="Long",(H214-F214)/F214*I214,(F214-H214)/F214*I214))</f>
        <v/>
      </c>
      <c r="L214" s="6" t="str">
        <f aca="false">IF(OR(K214="",J214="",J214=0),"",K214/J214)</f>
        <v/>
      </c>
      <c r="M214" s="3"/>
      <c r="N214" s="3"/>
      <c r="O214" s="3"/>
    </row>
    <row r="215" customFormat="false" ht="15" hidden="false" customHeight="false" outlineLevel="0" collapsed="false">
      <c r="A215" s="2"/>
      <c r="B215" s="3"/>
      <c r="C215" s="3"/>
      <c r="D215" s="3"/>
      <c r="E215" s="3"/>
      <c r="F215" s="4"/>
      <c r="G215" s="4"/>
      <c r="H215" s="4"/>
      <c r="I215" s="4"/>
      <c r="J215" s="4"/>
      <c r="K215" s="5" t="str">
        <f aca="false">IF(OR(F215="",H215="",I215=""),"",IF(D215="Long",(H215-F215)/F215*I215,(F215-H215)/F215*I215))</f>
        <v/>
      </c>
      <c r="L215" s="6" t="str">
        <f aca="false">IF(OR(K215="",J215="",J215=0),"",K215/J215)</f>
        <v/>
      </c>
      <c r="M215" s="3"/>
      <c r="N215" s="3"/>
      <c r="O215" s="3"/>
    </row>
    <row r="216" customFormat="false" ht="15" hidden="false" customHeight="false" outlineLevel="0" collapsed="false">
      <c r="A216" s="2"/>
      <c r="B216" s="3"/>
      <c r="C216" s="3"/>
      <c r="D216" s="3"/>
      <c r="E216" s="3"/>
      <c r="F216" s="4"/>
      <c r="G216" s="4"/>
      <c r="H216" s="4"/>
      <c r="I216" s="4"/>
      <c r="J216" s="4"/>
      <c r="K216" s="5" t="str">
        <f aca="false">IF(OR(F216="",H216="",I216=""),"",IF(D216="Long",(H216-F216)/F216*I216,(F216-H216)/F216*I216))</f>
        <v/>
      </c>
      <c r="L216" s="6" t="str">
        <f aca="false">IF(OR(K216="",J216="",J216=0),"",K216/J216)</f>
        <v/>
      </c>
      <c r="M216" s="3"/>
      <c r="N216" s="3"/>
      <c r="O216" s="3"/>
    </row>
    <row r="217" customFormat="false" ht="15" hidden="false" customHeight="false" outlineLevel="0" collapsed="false">
      <c r="A217" s="2"/>
      <c r="B217" s="3"/>
      <c r="C217" s="3"/>
      <c r="D217" s="3"/>
      <c r="E217" s="3"/>
      <c r="F217" s="4"/>
      <c r="G217" s="4"/>
      <c r="H217" s="4"/>
      <c r="I217" s="4"/>
      <c r="J217" s="4"/>
      <c r="K217" s="5" t="str">
        <f aca="false">IF(OR(F217="",H217="",I217=""),"",IF(D217="Long",(H217-F217)/F217*I217,(F217-H217)/F217*I217))</f>
        <v/>
      </c>
      <c r="L217" s="6" t="str">
        <f aca="false">IF(OR(K217="",J217="",J217=0),"",K217/J217)</f>
        <v/>
      </c>
      <c r="M217" s="3"/>
      <c r="N217" s="3"/>
      <c r="O217" s="3"/>
    </row>
    <row r="218" customFormat="false" ht="15" hidden="false" customHeight="false" outlineLevel="0" collapsed="false">
      <c r="A218" s="2"/>
      <c r="B218" s="3"/>
      <c r="C218" s="3"/>
      <c r="D218" s="3"/>
      <c r="E218" s="3"/>
      <c r="F218" s="4"/>
      <c r="G218" s="4"/>
      <c r="H218" s="4"/>
      <c r="I218" s="4"/>
      <c r="J218" s="4"/>
      <c r="K218" s="5" t="str">
        <f aca="false">IF(OR(F218="",H218="",I218=""),"",IF(D218="Long",(H218-F218)/F218*I218,(F218-H218)/F218*I218))</f>
        <v/>
      </c>
      <c r="L218" s="6" t="str">
        <f aca="false">IF(OR(K218="",J218="",J218=0),"",K218/J218)</f>
        <v/>
      </c>
      <c r="M218" s="3"/>
      <c r="N218" s="3"/>
      <c r="O218" s="3"/>
    </row>
    <row r="219" customFormat="false" ht="15" hidden="false" customHeight="false" outlineLevel="0" collapsed="false">
      <c r="A219" s="2"/>
      <c r="B219" s="3"/>
      <c r="C219" s="3"/>
      <c r="D219" s="3"/>
      <c r="E219" s="3"/>
      <c r="F219" s="4"/>
      <c r="G219" s="4"/>
      <c r="H219" s="4"/>
      <c r="I219" s="4"/>
      <c r="J219" s="4"/>
      <c r="K219" s="5" t="str">
        <f aca="false">IF(OR(F219="",H219="",I219=""),"",IF(D219="Long",(H219-F219)/F219*I219,(F219-H219)/F219*I219))</f>
        <v/>
      </c>
      <c r="L219" s="6" t="str">
        <f aca="false">IF(OR(K219="",J219="",J219=0),"",K219/J219)</f>
        <v/>
      </c>
      <c r="M219" s="3"/>
      <c r="N219" s="3"/>
      <c r="O219" s="3"/>
    </row>
    <row r="220" customFormat="false" ht="15" hidden="false" customHeight="false" outlineLevel="0" collapsed="false">
      <c r="A220" s="2"/>
      <c r="B220" s="3"/>
      <c r="C220" s="3"/>
      <c r="D220" s="3"/>
      <c r="E220" s="3"/>
      <c r="F220" s="4"/>
      <c r="G220" s="4"/>
      <c r="H220" s="4"/>
      <c r="I220" s="4"/>
      <c r="J220" s="4"/>
      <c r="K220" s="5" t="str">
        <f aca="false">IF(OR(F220="",H220="",I220=""),"",IF(D220="Long",(H220-F220)/F220*I220,(F220-H220)/F220*I220))</f>
        <v/>
      </c>
      <c r="L220" s="6" t="str">
        <f aca="false">IF(OR(K220="",J220="",J220=0),"",K220/J220)</f>
        <v/>
      </c>
      <c r="M220" s="3"/>
      <c r="N220" s="3"/>
      <c r="O220" s="3"/>
    </row>
    <row r="221" customFormat="false" ht="15" hidden="false" customHeight="false" outlineLevel="0" collapsed="false">
      <c r="A221" s="2"/>
      <c r="B221" s="3"/>
      <c r="C221" s="3"/>
      <c r="D221" s="3"/>
      <c r="E221" s="3"/>
      <c r="F221" s="4"/>
      <c r="G221" s="4"/>
      <c r="H221" s="4"/>
      <c r="I221" s="4"/>
      <c r="J221" s="4"/>
      <c r="K221" s="5" t="str">
        <f aca="false">IF(OR(F221="",H221="",I221=""),"",IF(D221="Long",(H221-F221)/F221*I221,(F221-H221)/F221*I221))</f>
        <v/>
      </c>
      <c r="L221" s="6" t="str">
        <f aca="false">IF(OR(K221="",J221="",J221=0),"",K221/J221)</f>
        <v/>
      </c>
      <c r="M221" s="3"/>
      <c r="N221" s="3"/>
      <c r="O221" s="3"/>
    </row>
    <row r="222" customFormat="false" ht="15" hidden="false" customHeight="false" outlineLevel="0" collapsed="false">
      <c r="A222" s="2"/>
      <c r="B222" s="3"/>
      <c r="C222" s="3"/>
      <c r="D222" s="3"/>
      <c r="E222" s="3"/>
      <c r="F222" s="4"/>
      <c r="G222" s="4"/>
      <c r="H222" s="4"/>
      <c r="I222" s="4"/>
      <c r="J222" s="4"/>
      <c r="K222" s="5" t="str">
        <f aca="false">IF(OR(F222="",H222="",I222=""),"",IF(D222="Long",(H222-F222)/F222*I222,(F222-H222)/F222*I222))</f>
        <v/>
      </c>
      <c r="L222" s="6" t="str">
        <f aca="false">IF(OR(K222="",J222="",J222=0),"",K222/J222)</f>
        <v/>
      </c>
      <c r="M222" s="3"/>
      <c r="N222" s="3"/>
      <c r="O222" s="3"/>
    </row>
    <row r="223" customFormat="false" ht="15" hidden="false" customHeight="false" outlineLevel="0" collapsed="false">
      <c r="A223" s="2"/>
      <c r="B223" s="3"/>
      <c r="C223" s="3"/>
      <c r="D223" s="3"/>
      <c r="E223" s="3"/>
      <c r="F223" s="4"/>
      <c r="G223" s="4"/>
      <c r="H223" s="4"/>
      <c r="I223" s="4"/>
      <c r="J223" s="4"/>
      <c r="K223" s="5" t="str">
        <f aca="false">IF(OR(F223="",H223="",I223=""),"",IF(D223="Long",(H223-F223)/F223*I223,(F223-H223)/F223*I223))</f>
        <v/>
      </c>
      <c r="L223" s="6" t="str">
        <f aca="false">IF(OR(K223="",J223="",J223=0),"",K223/J223)</f>
        <v/>
      </c>
      <c r="M223" s="3"/>
      <c r="N223" s="3"/>
      <c r="O223" s="3"/>
    </row>
    <row r="224" customFormat="false" ht="15" hidden="false" customHeight="false" outlineLevel="0" collapsed="false">
      <c r="A224" s="2"/>
      <c r="B224" s="3"/>
      <c r="C224" s="3"/>
      <c r="D224" s="3"/>
      <c r="E224" s="3"/>
      <c r="F224" s="4"/>
      <c r="G224" s="4"/>
      <c r="H224" s="4"/>
      <c r="I224" s="4"/>
      <c r="J224" s="4"/>
      <c r="K224" s="5" t="str">
        <f aca="false">IF(OR(F224="",H224="",I224=""),"",IF(D224="Long",(H224-F224)/F224*I224,(F224-H224)/F224*I224))</f>
        <v/>
      </c>
      <c r="L224" s="6" t="str">
        <f aca="false">IF(OR(K224="",J224="",J224=0),"",K224/J224)</f>
        <v/>
      </c>
      <c r="M224" s="3"/>
      <c r="N224" s="3"/>
      <c r="O224" s="3"/>
    </row>
    <row r="225" customFormat="false" ht="15" hidden="false" customHeight="false" outlineLevel="0" collapsed="false">
      <c r="A225" s="2"/>
      <c r="B225" s="3"/>
      <c r="C225" s="3"/>
      <c r="D225" s="3"/>
      <c r="E225" s="3"/>
      <c r="F225" s="4"/>
      <c r="G225" s="4"/>
      <c r="H225" s="4"/>
      <c r="I225" s="4"/>
      <c r="J225" s="4"/>
      <c r="K225" s="5" t="str">
        <f aca="false">IF(OR(F225="",H225="",I225=""),"",IF(D225="Long",(H225-F225)/F225*I225,(F225-H225)/F225*I225))</f>
        <v/>
      </c>
      <c r="L225" s="6" t="str">
        <f aca="false">IF(OR(K225="",J225="",J225=0),"",K225/J225)</f>
        <v/>
      </c>
      <c r="M225" s="3"/>
      <c r="N225" s="3"/>
      <c r="O225" s="3"/>
    </row>
    <row r="226" customFormat="false" ht="15" hidden="false" customHeight="false" outlineLevel="0" collapsed="false">
      <c r="A226" s="2"/>
      <c r="B226" s="3"/>
      <c r="C226" s="3"/>
      <c r="D226" s="3"/>
      <c r="E226" s="3"/>
      <c r="F226" s="4"/>
      <c r="G226" s="4"/>
      <c r="H226" s="4"/>
      <c r="I226" s="4"/>
      <c r="J226" s="4"/>
      <c r="K226" s="5" t="str">
        <f aca="false">IF(OR(F226="",H226="",I226=""),"",IF(D226="Long",(H226-F226)/F226*I226,(F226-H226)/F226*I226))</f>
        <v/>
      </c>
      <c r="L226" s="6" t="str">
        <f aca="false">IF(OR(K226="",J226="",J226=0),"",K226/J226)</f>
        <v/>
      </c>
      <c r="M226" s="3"/>
      <c r="N226" s="3"/>
      <c r="O226" s="3"/>
    </row>
    <row r="227" customFormat="false" ht="15" hidden="false" customHeight="false" outlineLevel="0" collapsed="false">
      <c r="A227" s="2"/>
      <c r="B227" s="3"/>
      <c r="C227" s="3"/>
      <c r="D227" s="3"/>
      <c r="E227" s="3"/>
      <c r="F227" s="4"/>
      <c r="G227" s="4"/>
      <c r="H227" s="4"/>
      <c r="I227" s="4"/>
      <c r="J227" s="4"/>
      <c r="K227" s="5" t="str">
        <f aca="false">IF(OR(F227="",H227="",I227=""),"",IF(D227="Long",(H227-F227)/F227*I227,(F227-H227)/F227*I227))</f>
        <v/>
      </c>
      <c r="L227" s="6" t="str">
        <f aca="false">IF(OR(K227="",J227="",J227=0),"",K227/J227)</f>
        <v/>
      </c>
      <c r="M227" s="3"/>
      <c r="N227" s="3"/>
      <c r="O227" s="3"/>
    </row>
    <row r="228" customFormat="false" ht="15" hidden="false" customHeight="false" outlineLevel="0" collapsed="false">
      <c r="A228" s="2"/>
      <c r="B228" s="3"/>
      <c r="C228" s="3"/>
      <c r="D228" s="3"/>
      <c r="E228" s="3"/>
      <c r="F228" s="4"/>
      <c r="G228" s="4"/>
      <c r="H228" s="4"/>
      <c r="I228" s="4"/>
      <c r="J228" s="4"/>
      <c r="K228" s="5" t="str">
        <f aca="false">IF(OR(F228="",H228="",I228=""),"",IF(D228="Long",(H228-F228)/F228*I228,(F228-H228)/F228*I228))</f>
        <v/>
      </c>
      <c r="L228" s="6" t="str">
        <f aca="false">IF(OR(K228="",J228="",J228=0),"",K228/J228)</f>
        <v/>
      </c>
      <c r="M228" s="3"/>
      <c r="N228" s="3"/>
      <c r="O228" s="3"/>
    </row>
    <row r="229" customFormat="false" ht="15" hidden="false" customHeight="false" outlineLevel="0" collapsed="false">
      <c r="A229" s="2"/>
      <c r="B229" s="3"/>
      <c r="C229" s="3"/>
      <c r="D229" s="3"/>
      <c r="E229" s="3"/>
      <c r="F229" s="4"/>
      <c r="G229" s="4"/>
      <c r="H229" s="4"/>
      <c r="I229" s="4"/>
      <c r="J229" s="4"/>
      <c r="K229" s="5" t="str">
        <f aca="false">IF(OR(F229="",H229="",I229=""),"",IF(D229="Long",(H229-F229)/F229*I229,(F229-H229)/F229*I229))</f>
        <v/>
      </c>
      <c r="L229" s="6" t="str">
        <f aca="false">IF(OR(K229="",J229="",J229=0),"",K229/J229)</f>
        <v/>
      </c>
      <c r="M229" s="3"/>
      <c r="N229" s="3"/>
      <c r="O229" s="3"/>
    </row>
    <row r="230" customFormat="false" ht="15" hidden="false" customHeight="false" outlineLevel="0" collapsed="false">
      <c r="A230" s="2"/>
      <c r="B230" s="3"/>
      <c r="C230" s="3"/>
      <c r="D230" s="3"/>
      <c r="E230" s="3"/>
      <c r="F230" s="4"/>
      <c r="G230" s="4"/>
      <c r="H230" s="4"/>
      <c r="I230" s="4"/>
      <c r="J230" s="4"/>
      <c r="K230" s="5" t="str">
        <f aca="false">IF(OR(F230="",H230="",I230=""),"",IF(D230="Long",(H230-F230)/F230*I230,(F230-H230)/F230*I230))</f>
        <v/>
      </c>
      <c r="L230" s="6" t="str">
        <f aca="false">IF(OR(K230="",J230="",J230=0),"",K230/J230)</f>
        <v/>
      </c>
      <c r="M230" s="3"/>
      <c r="N230" s="3"/>
      <c r="O230" s="3"/>
    </row>
    <row r="231" customFormat="false" ht="15" hidden="false" customHeight="false" outlineLevel="0" collapsed="false">
      <c r="A231" s="2"/>
      <c r="B231" s="3"/>
      <c r="C231" s="3"/>
      <c r="D231" s="3"/>
      <c r="E231" s="3"/>
      <c r="F231" s="4"/>
      <c r="G231" s="4"/>
      <c r="H231" s="4"/>
      <c r="I231" s="4"/>
      <c r="J231" s="4"/>
      <c r="K231" s="5" t="str">
        <f aca="false">IF(OR(F231="",H231="",I231=""),"",IF(D231="Long",(H231-F231)/F231*I231,(F231-H231)/F231*I231))</f>
        <v/>
      </c>
      <c r="L231" s="6" t="str">
        <f aca="false">IF(OR(K231="",J231="",J231=0),"",K231/J231)</f>
        <v/>
      </c>
      <c r="M231" s="3"/>
      <c r="N231" s="3"/>
      <c r="O231" s="3"/>
    </row>
    <row r="232" customFormat="false" ht="15" hidden="false" customHeight="false" outlineLevel="0" collapsed="false">
      <c r="A232" s="2"/>
      <c r="B232" s="3"/>
      <c r="C232" s="3"/>
      <c r="D232" s="3"/>
      <c r="E232" s="3"/>
      <c r="F232" s="4"/>
      <c r="G232" s="4"/>
      <c r="H232" s="4"/>
      <c r="I232" s="4"/>
      <c r="J232" s="4"/>
      <c r="K232" s="5" t="str">
        <f aca="false">IF(OR(F232="",H232="",I232=""),"",IF(D232="Long",(H232-F232)/F232*I232,(F232-H232)/F232*I232))</f>
        <v/>
      </c>
      <c r="L232" s="6" t="str">
        <f aca="false">IF(OR(K232="",J232="",J232=0),"",K232/J232)</f>
        <v/>
      </c>
      <c r="M232" s="3"/>
      <c r="N232" s="3"/>
      <c r="O232" s="3"/>
    </row>
    <row r="233" customFormat="false" ht="15" hidden="false" customHeight="false" outlineLevel="0" collapsed="false">
      <c r="A233" s="2"/>
      <c r="B233" s="3"/>
      <c r="C233" s="3"/>
      <c r="D233" s="3"/>
      <c r="E233" s="3"/>
      <c r="F233" s="4"/>
      <c r="G233" s="4"/>
      <c r="H233" s="4"/>
      <c r="I233" s="4"/>
      <c r="J233" s="4"/>
      <c r="K233" s="5" t="str">
        <f aca="false">IF(OR(F233="",H233="",I233=""),"",IF(D233="Long",(H233-F233)/F233*I233,(F233-H233)/F233*I233))</f>
        <v/>
      </c>
      <c r="L233" s="6" t="str">
        <f aca="false">IF(OR(K233="",J233="",J233=0),"",K233/J233)</f>
        <v/>
      </c>
      <c r="M233" s="3"/>
      <c r="N233" s="3"/>
      <c r="O233" s="3"/>
    </row>
    <row r="234" customFormat="false" ht="15" hidden="false" customHeight="false" outlineLevel="0" collapsed="false">
      <c r="A234" s="2"/>
      <c r="B234" s="3"/>
      <c r="C234" s="3"/>
      <c r="D234" s="3"/>
      <c r="E234" s="3"/>
      <c r="F234" s="4"/>
      <c r="G234" s="4"/>
      <c r="H234" s="4"/>
      <c r="I234" s="4"/>
      <c r="J234" s="4"/>
      <c r="K234" s="5" t="str">
        <f aca="false">IF(OR(F234="",H234="",I234=""),"",IF(D234="Long",(H234-F234)/F234*I234,(F234-H234)/F234*I234))</f>
        <v/>
      </c>
      <c r="L234" s="6" t="str">
        <f aca="false">IF(OR(K234="",J234="",J234=0),"",K234/J234)</f>
        <v/>
      </c>
      <c r="M234" s="3"/>
      <c r="N234" s="3"/>
      <c r="O234" s="3"/>
    </row>
    <row r="235" customFormat="false" ht="15" hidden="false" customHeight="false" outlineLevel="0" collapsed="false">
      <c r="A235" s="2"/>
      <c r="B235" s="3"/>
      <c r="C235" s="3"/>
      <c r="D235" s="3"/>
      <c r="E235" s="3"/>
      <c r="F235" s="4"/>
      <c r="G235" s="4"/>
      <c r="H235" s="4"/>
      <c r="I235" s="4"/>
      <c r="J235" s="4"/>
      <c r="K235" s="5" t="str">
        <f aca="false">IF(OR(F235="",H235="",I235=""),"",IF(D235="Long",(H235-F235)/F235*I235,(F235-H235)/F235*I235))</f>
        <v/>
      </c>
      <c r="L235" s="6" t="str">
        <f aca="false">IF(OR(K235="",J235="",J235=0),"",K235/J235)</f>
        <v/>
      </c>
      <c r="M235" s="3"/>
      <c r="N235" s="3"/>
      <c r="O235" s="3"/>
    </row>
    <row r="236" customFormat="false" ht="15" hidden="false" customHeight="false" outlineLevel="0" collapsed="false">
      <c r="A236" s="2"/>
      <c r="B236" s="3"/>
      <c r="C236" s="3"/>
      <c r="D236" s="3"/>
      <c r="E236" s="3"/>
      <c r="F236" s="4"/>
      <c r="G236" s="4"/>
      <c r="H236" s="4"/>
      <c r="I236" s="4"/>
      <c r="J236" s="4"/>
      <c r="K236" s="5" t="str">
        <f aca="false">IF(OR(F236="",H236="",I236=""),"",IF(D236="Long",(H236-F236)/F236*I236,(F236-H236)/F236*I236))</f>
        <v/>
      </c>
      <c r="L236" s="6" t="str">
        <f aca="false">IF(OR(K236="",J236="",J236=0),"",K236/J236)</f>
        <v/>
      </c>
      <c r="M236" s="3"/>
      <c r="N236" s="3"/>
      <c r="O236" s="3"/>
    </row>
    <row r="237" customFormat="false" ht="15" hidden="false" customHeight="false" outlineLevel="0" collapsed="false">
      <c r="A237" s="2"/>
      <c r="B237" s="3"/>
      <c r="C237" s="3"/>
      <c r="D237" s="3"/>
      <c r="E237" s="3"/>
      <c r="F237" s="4"/>
      <c r="G237" s="4"/>
      <c r="H237" s="4"/>
      <c r="I237" s="4"/>
      <c r="J237" s="4"/>
      <c r="K237" s="5" t="str">
        <f aca="false">IF(OR(F237="",H237="",I237=""),"",IF(D237="Long",(H237-F237)/F237*I237,(F237-H237)/F237*I237))</f>
        <v/>
      </c>
      <c r="L237" s="6" t="str">
        <f aca="false">IF(OR(K237="",J237="",J237=0),"",K237/J237)</f>
        <v/>
      </c>
      <c r="M237" s="3"/>
      <c r="N237" s="3"/>
      <c r="O237" s="3"/>
    </row>
    <row r="238" customFormat="false" ht="15" hidden="false" customHeight="false" outlineLevel="0" collapsed="false">
      <c r="A238" s="2"/>
      <c r="B238" s="3"/>
      <c r="C238" s="3"/>
      <c r="D238" s="3"/>
      <c r="E238" s="3"/>
      <c r="F238" s="4"/>
      <c r="G238" s="4"/>
      <c r="H238" s="4"/>
      <c r="I238" s="4"/>
      <c r="J238" s="4"/>
      <c r="K238" s="5" t="str">
        <f aca="false">IF(OR(F238="",H238="",I238=""),"",IF(D238="Long",(H238-F238)/F238*I238,(F238-H238)/F238*I238))</f>
        <v/>
      </c>
      <c r="L238" s="6" t="str">
        <f aca="false">IF(OR(K238="",J238="",J238=0),"",K238/J238)</f>
        <v/>
      </c>
      <c r="M238" s="3"/>
      <c r="N238" s="3"/>
      <c r="O238" s="3"/>
    </row>
    <row r="239" customFormat="false" ht="15" hidden="false" customHeight="false" outlineLevel="0" collapsed="false">
      <c r="A239" s="2"/>
      <c r="B239" s="3"/>
      <c r="C239" s="3"/>
      <c r="D239" s="3"/>
      <c r="E239" s="3"/>
      <c r="F239" s="4"/>
      <c r="G239" s="4"/>
      <c r="H239" s="4"/>
      <c r="I239" s="4"/>
      <c r="J239" s="4"/>
      <c r="K239" s="5" t="str">
        <f aca="false">IF(OR(F239="",H239="",I239=""),"",IF(D239="Long",(H239-F239)/F239*I239,(F239-H239)/F239*I239))</f>
        <v/>
      </c>
      <c r="L239" s="6" t="str">
        <f aca="false">IF(OR(K239="",J239="",J239=0),"",K239/J239)</f>
        <v/>
      </c>
      <c r="M239" s="3"/>
      <c r="N239" s="3"/>
      <c r="O239" s="3"/>
    </row>
    <row r="240" customFormat="false" ht="15" hidden="false" customHeight="false" outlineLevel="0" collapsed="false">
      <c r="A240" s="2"/>
      <c r="B240" s="3"/>
      <c r="C240" s="3"/>
      <c r="D240" s="3"/>
      <c r="E240" s="3"/>
      <c r="F240" s="4"/>
      <c r="G240" s="4"/>
      <c r="H240" s="4"/>
      <c r="I240" s="4"/>
      <c r="J240" s="4"/>
      <c r="K240" s="5" t="str">
        <f aca="false">IF(OR(F240="",H240="",I240=""),"",IF(D240="Long",(H240-F240)/F240*I240,(F240-H240)/F240*I240))</f>
        <v/>
      </c>
      <c r="L240" s="6" t="str">
        <f aca="false">IF(OR(K240="",J240="",J240=0),"",K240/J240)</f>
        <v/>
      </c>
      <c r="M240" s="3"/>
      <c r="N240" s="3"/>
      <c r="O240" s="3"/>
    </row>
    <row r="241" customFormat="false" ht="15" hidden="false" customHeight="false" outlineLevel="0" collapsed="false">
      <c r="A241" s="2"/>
      <c r="B241" s="3"/>
      <c r="C241" s="3"/>
      <c r="D241" s="3"/>
      <c r="E241" s="3"/>
      <c r="F241" s="4"/>
      <c r="G241" s="4"/>
      <c r="H241" s="4"/>
      <c r="I241" s="4"/>
      <c r="J241" s="4"/>
      <c r="K241" s="5" t="str">
        <f aca="false">IF(OR(F241="",H241="",I241=""),"",IF(D241="Long",(H241-F241)/F241*I241,(F241-H241)/F241*I241))</f>
        <v/>
      </c>
      <c r="L241" s="6" t="str">
        <f aca="false">IF(OR(K241="",J241="",J241=0),"",K241/J241)</f>
        <v/>
      </c>
      <c r="M241" s="3"/>
      <c r="N241" s="3"/>
      <c r="O241" s="3"/>
    </row>
    <row r="242" customFormat="false" ht="15" hidden="false" customHeight="false" outlineLevel="0" collapsed="false">
      <c r="A242" s="2"/>
      <c r="B242" s="3"/>
      <c r="C242" s="3"/>
      <c r="D242" s="3"/>
      <c r="E242" s="3"/>
      <c r="F242" s="4"/>
      <c r="G242" s="4"/>
      <c r="H242" s="4"/>
      <c r="I242" s="4"/>
      <c r="J242" s="4"/>
      <c r="K242" s="5" t="str">
        <f aca="false">IF(OR(F242="",H242="",I242=""),"",IF(D242="Long",(H242-F242)/F242*I242,(F242-H242)/F242*I242))</f>
        <v/>
      </c>
      <c r="L242" s="6" t="str">
        <f aca="false">IF(OR(K242="",J242="",J242=0),"",K242/J242)</f>
        <v/>
      </c>
      <c r="M242" s="3"/>
      <c r="N242" s="3"/>
      <c r="O242" s="3"/>
    </row>
    <row r="243" customFormat="false" ht="15" hidden="false" customHeight="false" outlineLevel="0" collapsed="false">
      <c r="A243" s="2"/>
      <c r="B243" s="3"/>
      <c r="C243" s="3"/>
      <c r="D243" s="3"/>
      <c r="E243" s="3"/>
      <c r="F243" s="4"/>
      <c r="G243" s="4"/>
      <c r="H243" s="4"/>
      <c r="I243" s="4"/>
      <c r="J243" s="4"/>
      <c r="K243" s="5" t="str">
        <f aca="false">IF(OR(F243="",H243="",I243=""),"",IF(D243="Long",(H243-F243)/F243*I243,(F243-H243)/F243*I243))</f>
        <v/>
      </c>
      <c r="L243" s="6" t="str">
        <f aca="false">IF(OR(K243="",J243="",J243=0),"",K243/J243)</f>
        <v/>
      </c>
      <c r="M243" s="3"/>
      <c r="N243" s="3"/>
      <c r="O243" s="3"/>
    </row>
    <row r="244" customFormat="false" ht="15" hidden="false" customHeight="false" outlineLevel="0" collapsed="false">
      <c r="A244" s="2"/>
      <c r="B244" s="3"/>
      <c r="C244" s="3"/>
      <c r="D244" s="3"/>
      <c r="E244" s="3"/>
      <c r="F244" s="4"/>
      <c r="G244" s="4"/>
      <c r="H244" s="4"/>
      <c r="I244" s="4"/>
      <c r="J244" s="4"/>
      <c r="K244" s="5" t="str">
        <f aca="false">IF(OR(F244="",H244="",I244=""),"",IF(D244="Long",(H244-F244)/F244*I244,(F244-H244)/F244*I244))</f>
        <v/>
      </c>
      <c r="L244" s="6" t="str">
        <f aca="false">IF(OR(K244="",J244="",J244=0),"",K244/J244)</f>
        <v/>
      </c>
      <c r="M244" s="3"/>
      <c r="N244" s="3"/>
      <c r="O244" s="3"/>
    </row>
    <row r="245" customFormat="false" ht="15" hidden="false" customHeight="false" outlineLevel="0" collapsed="false">
      <c r="A245" s="2"/>
      <c r="B245" s="3"/>
      <c r="C245" s="3"/>
      <c r="D245" s="3"/>
      <c r="E245" s="3"/>
      <c r="F245" s="4"/>
      <c r="G245" s="4"/>
      <c r="H245" s="4"/>
      <c r="I245" s="4"/>
      <c r="J245" s="4"/>
      <c r="K245" s="5" t="str">
        <f aca="false">IF(OR(F245="",H245="",I245=""),"",IF(D245="Long",(H245-F245)/F245*I245,(F245-H245)/F245*I245))</f>
        <v/>
      </c>
      <c r="L245" s="6" t="str">
        <f aca="false">IF(OR(K245="",J245="",J245=0),"",K245/J245)</f>
        <v/>
      </c>
      <c r="M245" s="3"/>
      <c r="N245" s="3"/>
      <c r="O245" s="3"/>
    </row>
    <row r="246" customFormat="false" ht="15" hidden="false" customHeight="false" outlineLevel="0" collapsed="false">
      <c r="A246" s="2"/>
      <c r="B246" s="3"/>
      <c r="C246" s="3"/>
      <c r="D246" s="3"/>
      <c r="E246" s="3"/>
      <c r="F246" s="4"/>
      <c r="G246" s="4"/>
      <c r="H246" s="4"/>
      <c r="I246" s="4"/>
      <c r="J246" s="4"/>
      <c r="K246" s="5" t="str">
        <f aca="false">IF(OR(F246="",H246="",I246=""),"",IF(D246="Long",(H246-F246)/F246*I246,(F246-H246)/F246*I246))</f>
        <v/>
      </c>
      <c r="L246" s="6" t="str">
        <f aca="false">IF(OR(K246="",J246="",J246=0),"",K246/J246)</f>
        <v/>
      </c>
      <c r="M246" s="3"/>
      <c r="N246" s="3"/>
      <c r="O246" s="3"/>
    </row>
    <row r="247" customFormat="false" ht="15" hidden="false" customHeight="false" outlineLevel="0" collapsed="false">
      <c r="A247" s="2"/>
      <c r="B247" s="3"/>
      <c r="C247" s="3"/>
      <c r="D247" s="3"/>
      <c r="E247" s="3"/>
      <c r="F247" s="4"/>
      <c r="G247" s="4"/>
      <c r="H247" s="4"/>
      <c r="I247" s="4"/>
      <c r="J247" s="4"/>
      <c r="K247" s="5" t="str">
        <f aca="false">IF(OR(F247="",H247="",I247=""),"",IF(D247="Long",(H247-F247)/F247*I247,(F247-H247)/F247*I247))</f>
        <v/>
      </c>
      <c r="L247" s="6" t="str">
        <f aca="false">IF(OR(K247="",J247="",J247=0),"",K247/J247)</f>
        <v/>
      </c>
      <c r="M247" s="3"/>
      <c r="N247" s="3"/>
      <c r="O247" s="3"/>
    </row>
    <row r="248" customFormat="false" ht="15" hidden="false" customHeight="false" outlineLevel="0" collapsed="false">
      <c r="A248" s="2"/>
      <c r="B248" s="3"/>
      <c r="C248" s="3"/>
      <c r="D248" s="3"/>
      <c r="E248" s="3"/>
      <c r="F248" s="4"/>
      <c r="G248" s="4"/>
      <c r="H248" s="4"/>
      <c r="I248" s="4"/>
      <c r="J248" s="4"/>
      <c r="K248" s="5" t="str">
        <f aca="false">IF(OR(F248="",H248="",I248=""),"",IF(D248="Long",(H248-F248)/F248*I248,(F248-H248)/F248*I248))</f>
        <v/>
      </c>
      <c r="L248" s="6" t="str">
        <f aca="false">IF(OR(K248="",J248="",J248=0),"",K248/J248)</f>
        <v/>
      </c>
      <c r="M248" s="3"/>
      <c r="N248" s="3"/>
      <c r="O248" s="3"/>
    </row>
    <row r="249" customFormat="false" ht="15" hidden="false" customHeight="false" outlineLevel="0" collapsed="false">
      <c r="A249" s="2"/>
      <c r="B249" s="3"/>
      <c r="C249" s="3"/>
      <c r="D249" s="3"/>
      <c r="E249" s="3"/>
      <c r="F249" s="4"/>
      <c r="G249" s="4"/>
      <c r="H249" s="4"/>
      <c r="I249" s="4"/>
      <c r="J249" s="4"/>
      <c r="K249" s="5" t="str">
        <f aca="false">IF(OR(F249="",H249="",I249=""),"",IF(D249="Long",(H249-F249)/F249*I249,(F249-H249)/F249*I249))</f>
        <v/>
      </c>
      <c r="L249" s="6" t="str">
        <f aca="false">IF(OR(K249="",J249="",J249=0),"",K249/J249)</f>
        <v/>
      </c>
      <c r="M249" s="3"/>
      <c r="N249" s="3"/>
      <c r="O249" s="3"/>
    </row>
    <row r="250" customFormat="false" ht="15" hidden="false" customHeight="false" outlineLevel="0" collapsed="false">
      <c r="A250" s="2"/>
      <c r="B250" s="3"/>
      <c r="C250" s="3"/>
      <c r="D250" s="3"/>
      <c r="E250" s="3"/>
      <c r="F250" s="4"/>
      <c r="G250" s="4"/>
      <c r="H250" s="4"/>
      <c r="I250" s="4"/>
      <c r="J250" s="4"/>
      <c r="K250" s="5" t="str">
        <f aca="false">IF(OR(F250="",H250="",I250=""),"",IF(D250="Long",(H250-F250)/F250*I250,(F250-H250)/F250*I250))</f>
        <v/>
      </c>
      <c r="L250" s="6" t="str">
        <f aca="false">IF(OR(K250="",J250="",J250=0),"",K250/J250)</f>
        <v/>
      </c>
      <c r="M250" s="3"/>
      <c r="N250" s="3"/>
      <c r="O250" s="3"/>
    </row>
    <row r="251" customFormat="false" ht="15" hidden="false" customHeight="false" outlineLevel="0" collapsed="false">
      <c r="A251" s="2"/>
      <c r="B251" s="3"/>
      <c r="C251" s="3"/>
      <c r="D251" s="3"/>
      <c r="E251" s="3"/>
      <c r="F251" s="4"/>
      <c r="G251" s="4"/>
      <c r="H251" s="4"/>
      <c r="I251" s="4"/>
      <c r="J251" s="4"/>
      <c r="K251" s="5" t="str">
        <f aca="false">IF(OR(F251="",H251="",I251=""),"",IF(D251="Long",(H251-F251)/F251*I251,(F251-H251)/F251*I251))</f>
        <v/>
      </c>
      <c r="L251" s="6" t="str">
        <f aca="false">IF(OR(K251="",J251="",J251=0),"",K251/J251)</f>
        <v/>
      </c>
      <c r="M251" s="3"/>
      <c r="N251" s="3"/>
      <c r="O251" s="3"/>
    </row>
    <row r="252" customFormat="false" ht="15" hidden="false" customHeight="false" outlineLevel="0" collapsed="false">
      <c r="A252" s="2"/>
      <c r="B252" s="3"/>
      <c r="C252" s="3"/>
      <c r="D252" s="3"/>
      <c r="E252" s="3"/>
      <c r="F252" s="4"/>
      <c r="G252" s="4"/>
      <c r="H252" s="4"/>
      <c r="I252" s="4"/>
      <c r="J252" s="4"/>
      <c r="K252" s="5" t="str">
        <f aca="false">IF(OR(F252="",H252="",I252=""),"",IF(D252="Long",(H252-F252)/F252*I252,(F252-H252)/F252*I252))</f>
        <v/>
      </c>
      <c r="L252" s="6" t="str">
        <f aca="false">IF(OR(K252="",J252="",J252=0),"",K252/J252)</f>
        <v/>
      </c>
      <c r="M252" s="3"/>
      <c r="N252" s="3"/>
      <c r="O252" s="3"/>
    </row>
    <row r="253" customFormat="false" ht="15" hidden="false" customHeight="false" outlineLevel="0" collapsed="false">
      <c r="A253" s="2"/>
      <c r="B253" s="3"/>
      <c r="C253" s="3"/>
      <c r="D253" s="3"/>
      <c r="E253" s="3"/>
      <c r="F253" s="4"/>
      <c r="G253" s="4"/>
      <c r="H253" s="4"/>
      <c r="I253" s="4"/>
      <c r="J253" s="4"/>
      <c r="K253" s="5" t="str">
        <f aca="false">IF(OR(F253="",H253="",I253=""),"",IF(D253="Long",(H253-F253)/F253*I253,(F253-H253)/F253*I253))</f>
        <v/>
      </c>
      <c r="L253" s="6" t="str">
        <f aca="false">IF(OR(K253="",J253="",J253=0),"",K253/J253)</f>
        <v/>
      </c>
      <c r="M253" s="3"/>
      <c r="N253" s="3"/>
      <c r="O253" s="3"/>
    </row>
    <row r="254" customFormat="false" ht="15" hidden="false" customHeight="false" outlineLevel="0" collapsed="false">
      <c r="A254" s="2"/>
      <c r="B254" s="3"/>
      <c r="C254" s="3"/>
      <c r="D254" s="3"/>
      <c r="E254" s="3"/>
      <c r="F254" s="4"/>
      <c r="G254" s="4"/>
      <c r="H254" s="4"/>
      <c r="I254" s="4"/>
      <c r="J254" s="4"/>
      <c r="K254" s="5" t="str">
        <f aca="false">IF(OR(F254="",H254="",I254=""),"",IF(D254="Long",(H254-F254)/F254*I254,(F254-H254)/F254*I254))</f>
        <v/>
      </c>
      <c r="L254" s="6" t="str">
        <f aca="false">IF(OR(K254="",J254="",J254=0),"",K254/J254)</f>
        <v/>
      </c>
      <c r="M254" s="3"/>
      <c r="N254" s="3"/>
      <c r="O254" s="3"/>
    </row>
    <row r="255" customFormat="false" ht="15" hidden="false" customHeight="false" outlineLevel="0" collapsed="false">
      <c r="A255" s="2"/>
      <c r="B255" s="3"/>
      <c r="C255" s="3"/>
      <c r="D255" s="3"/>
      <c r="E255" s="3"/>
      <c r="F255" s="4"/>
      <c r="G255" s="4"/>
      <c r="H255" s="4"/>
      <c r="I255" s="4"/>
      <c r="J255" s="4"/>
      <c r="K255" s="5" t="str">
        <f aca="false">IF(OR(F255="",H255="",I255=""),"",IF(D255="Long",(H255-F255)/F255*I255,(F255-H255)/F255*I255))</f>
        <v/>
      </c>
      <c r="L255" s="6" t="str">
        <f aca="false">IF(OR(K255="",J255="",J255=0),"",K255/J255)</f>
        <v/>
      </c>
      <c r="M255" s="3"/>
      <c r="N255" s="3"/>
      <c r="O255" s="3"/>
    </row>
    <row r="256" customFormat="false" ht="15" hidden="false" customHeight="false" outlineLevel="0" collapsed="false">
      <c r="A256" s="2"/>
      <c r="B256" s="3"/>
      <c r="C256" s="3"/>
      <c r="D256" s="3"/>
      <c r="E256" s="3"/>
      <c r="F256" s="4"/>
      <c r="G256" s="4"/>
      <c r="H256" s="4"/>
      <c r="I256" s="4"/>
      <c r="J256" s="4"/>
      <c r="K256" s="5" t="str">
        <f aca="false">IF(OR(F256="",H256="",I256=""),"",IF(D256="Long",(H256-F256)/F256*I256,(F256-H256)/F256*I256))</f>
        <v/>
      </c>
      <c r="L256" s="6" t="str">
        <f aca="false">IF(OR(K256="",J256="",J256=0),"",K256/J256)</f>
        <v/>
      </c>
      <c r="M256" s="3"/>
      <c r="N256" s="3"/>
      <c r="O256" s="3"/>
    </row>
    <row r="257" customFormat="false" ht="15" hidden="false" customHeight="false" outlineLevel="0" collapsed="false">
      <c r="A257" s="2"/>
      <c r="B257" s="3"/>
      <c r="C257" s="3"/>
      <c r="D257" s="3"/>
      <c r="E257" s="3"/>
      <c r="F257" s="4"/>
      <c r="G257" s="4"/>
      <c r="H257" s="4"/>
      <c r="I257" s="4"/>
      <c r="J257" s="4"/>
      <c r="K257" s="5" t="str">
        <f aca="false">IF(OR(F257="",H257="",I257=""),"",IF(D257="Long",(H257-F257)/F257*I257,(F257-H257)/F257*I257))</f>
        <v/>
      </c>
      <c r="L257" s="6" t="str">
        <f aca="false">IF(OR(K257="",J257="",J257=0),"",K257/J257)</f>
        <v/>
      </c>
      <c r="M257" s="3"/>
      <c r="N257" s="3"/>
      <c r="O257" s="3"/>
    </row>
    <row r="258" customFormat="false" ht="15" hidden="false" customHeight="false" outlineLevel="0" collapsed="false">
      <c r="A258" s="2"/>
      <c r="B258" s="3"/>
      <c r="C258" s="3"/>
      <c r="D258" s="3"/>
      <c r="E258" s="3"/>
      <c r="F258" s="4"/>
      <c r="G258" s="4"/>
      <c r="H258" s="4"/>
      <c r="I258" s="4"/>
      <c r="J258" s="4"/>
      <c r="K258" s="5" t="str">
        <f aca="false">IF(OR(F258="",H258="",I258=""),"",IF(D258="Long",(H258-F258)/F258*I258,(F258-H258)/F258*I258))</f>
        <v/>
      </c>
      <c r="L258" s="6" t="str">
        <f aca="false">IF(OR(K258="",J258="",J258=0),"",K258/J258)</f>
        <v/>
      </c>
      <c r="M258" s="3"/>
      <c r="N258" s="3"/>
      <c r="O258" s="3"/>
    </row>
    <row r="259" customFormat="false" ht="15" hidden="false" customHeight="false" outlineLevel="0" collapsed="false">
      <c r="A259" s="2"/>
      <c r="B259" s="3"/>
      <c r="C259" s="3"/>
      <c r="D259" s="3"/>
      <c r="E259" s="3"/>
      <c r="F259" s="4"/>
      <c r="G259" s="4"/>
      <c r="H259" s="4"/>
      <c r="I259" s="4"/>
      <c r="J259" s="4"/>
      <c r="K259" s="5" t="str">
        <f aca="false">IF(OR(F259="",H259="",I259=""),"",IF(D259="Long",(H259-F259)/F259*I259,(F259-H259)/F259*I259))</f>
        <v/>
      </c>
      <c r="L259" s="6" t="str">
        <f aca="false">IF(OR(K259="",J259="",J259=0),"",K259/J259)</f>
        <v/>
      </c>
      <c r="M259" s="3"/>
      <c r="N259" s="3"/>
      <c r="O259" s="3"/>
    </row>
    <row r="260" customFormat="false" ht="15" hidden="false" customHeight="false" outlineLevel="0" collapsed="false">
      <c r="A260" s="2"/>
      <c r="B260" s="3"/>
      <c r="C260" s="3"/>
      <c r="D260" s="3"/>
      <c r="E260" s="3"/>
      <c r="F260" s="4"/>
      <c r="G260" s="4"/>
      <c r="H260" s="4"/>
      <c r="I260" s="4"/>
      <c r="J260" s="4"/>
      <c r="K260" s="5" t="str">
        <f aca="false">IF(OR(F260="",H260="",I260=""),"",IF(D260="Long",(H260-F260)/F260*I260,(F260-H260)/F260*I260))</f>
        <v/>
      </c>
      <c r="L260" s="6" t="str">
        <f aca="false">IF(OR(K260="",J260="",J260=0),"",K260/J260)</f>
        <v/>
      </c>
      <c r="M260" s="3"/>
      <c r="N260" s="3"/>
      <c r="O260" s="3"/>
    </row>
    <row r="261" customFormat="false" ht="15" hidden="false" customHeight="false" outlineLevel="0" collapsed="false">
      <c r="A261" s="2"/>
      <c r="B261" s="3"/>
      <c r="C261" s="3"/>
      <c r="D261" s="3"/>
      <c r="E261" s="3"/>
      <c r="F261" s="4"/>
      <c r="G261" s="4"/>
      <c r="H261" s="4"/>
      <c r="I261" s="4"/>
      <c r="J261" s="4"/>
      <c r="K261" s="5" t="str">
        <f aca="false">IF(OR(F261="",H261="",I261=""),"",IF(D261="Long",(H261-F261)/F261*I261,(F261-H261)/F261*I261))</f>
        <v/>
      </c>
      <c r="L261" s="6" t="str">
        <f aca="false">IF(OR(K261="",J261="",J261=0),"",K261/J261)</f>
        <v/>
      </c>
      <c r="M261" s="3"/>
      <c r="N261" s="3"/>
      <c r="O261" s="3"/>
    </row>
    <row r="262" customFormat="false" ht="15" hidden="false" customHeight="false" outlineLevel="0" collapsed="false">
      <c r="A262" s="2"/>
      <c r="B262" s="3"/>
      <c r="C262" s="3"/>
      <c r="D262" s="3"/>
      <c r="E262" s="3"/>
      <c r="F262" s="4"/>
      <c r="G262" s="4"/>
      <c r="H262" s="4"/>
      <c r="I262" s="4"/>
      <c r="J262" s="4"/>
      <c r="K262" s="5" t="str">
        <f aca="false">IF(OR(F262="",H262="",I262=""),"",IF(D262="Long",(H262-F262)/F262*I262,(F262-H262)/F262*I262))</f>
        <v/>
      </c>
      <c r="L262" s="6" t="str">
        <f aca="false">IF(OR(K262="",J262="",J262=0),"",K262/J262)</f>
        <v/>
      </c>
      <c r="M262" s="3"/>
      <c r="N262" s="3"/>
      <c r="O262" s="3"/>
    </row>
    <row r="263" customFormat="false" ht="15" hidden="false" customHeight="false" outlineLevel="0" collapsed="false">
      <c r="A263" s="2"/>
      <c r="B263" s="3"/>
      <c r="C263" s="3"/>
      <c r="D263" s="3"/>
      <c r="E263" s="3"/>
      <c r="F263" s="4"/>
      <c r="G263" s="4"/>
      <c r="H263" s="4"/>
      <c r="I263" s="4"/>
      <c r="J263" s="4"/>
      <c r="K263" s="5" t="str">
        <f aca="false">IF(OR(F263="",H263="",I263=""),"",IF(D263="Long",(H263-F263)/F263*I263,(F263-H263)/F263*I263))</f>
        <v/>
      </c>
      <c r="L263" s="6" t="str">
        <f aca="false">IF(OR(K263="",J263="",J263=0),"",K263/J263)</f>
        <v/>
      </c>
      <c r="M263" s="3"/>
      <c r="N263" s="3"/>
      <c r="O263" s="3"/>
    </row>
    <row r="264" customFormat="false" ht="15" hidden="false" customHeight="false" outlineLevel="0" collapsed="false">
      <c r="A264" s="2"/>
      <c r="B264" s="3"/>
      <c r="C264" s="3"/>
      <c r="D264" s="3"/>
      <c r="E264" s="3"/>
      <c r="F264" s="4"/>
      <c r="G264" s="4"/>
      <c r="H264" s="4"/>
      <c r="I264" s="4"/>
      <c r="J264" s="4"/>
      <c r="K264" s="5" t="str">
        <f aca="false">IF(OR(F264="",H264="",I264=""),"",IF(D264="Long",(H264-F264)/F264*I264,(F264-H264)/F264*I264))</f>
        <v/>
      </c>
      <c r="L264" s="6" t="str">
        <f aca="false">IF(OR(K264="",J264="",J264=0),"",K264/J264)</f>
        <v/>
      </c>
      <c r="M264" s="3"/>
      <c r="N264" s="3"/>
      <c r="O264" s="3"/>
    </row>
    <row r="265" customFormat="false" ht="15" hidden="false" customHeight="false" outlineLevel="0" collapsed="false">
      <c r="A265" s="2"/>
      <c r="B265" s="3"/>
      <c r="C265" s="3"/>
      <c r="D265" s="3"/>
      <c r="E265" s="3"/>
      <c r="F265" s="4"/>
      <c r="G265" s="4"/>
      <c r="H265" s="4"/>
      <c r="I265" s="4"/>
      <c r="J265" s="4"/>
      <c r="K265" s="5" t="str">
        <f aca="false">IF(OR(F265="",H265="",I265=""),"",IF(D265="Long",(H265-F265)/F265*I265,(F265-H265)/F265*I265))</f>
        <v/>
      </c>
      <c r="L265" s="6" t="str">
        <f aca="false">IF(OR(K265="",J265="",J265=0),"",K265/J265)</f>
        <v/>
      </c>
      <c r="M265" s="3"/>
      <c r="N265" s="3"/>
      <c r="O265" s="3"/>
    </row>
    <row r="266" customFormat="false" ht="15" hidden="false" customHeight="false" outlineLevel="0" collapsed="false">
      <c r="A266" s="2"/>
      <c r="B266" s="3"/>
      <c r="C266" s="3"/>
      <c r="D266" s="3"/>
      <c r="E266" s="3"/>
      <c r="F266" s="4"/>
      <c r="G266" s="4"/>
      <c r="H266" s="4"/>
      <c r="I266" s="4"/>
      <c r="J266" s="4"/>
      <c r="K266" s="5" t="str">
        <f aca="false">IF(OR(F266="",H266="",I266=""),"",IF(D266="Long",(H266-F266)/F266*I266,(F266-H266)/F266*I266))</f>
        <v/>
      </c>
      <c r="L266" s="6" t="str">
        <f aca="false">IF(OR(K266="",J266="",J266=0),"",K266/J266)</f>
        <v/>
      </c>
      <c r="M266" s="3"/>
      <c r="N266" s="3"/>
      <c r="O266" s="3"/>
    </row>
    <row r="267" customFormat="false" ht="15" hidden="false" customHeight="false" outlineLevel="0" collapsed="false">
      <c r="A267" s="2"/>
      <c r="B267" s="3"/>
      <c r="C267" s="3"/>
      <c r="D267" s="3"/>
      <c r="E267" s="3"/>
      <c r="F267" s="4"/>
      <c r="G267" s="4"/>
      <c r="H267" s="4"/>
      <c r="I267" s="4"/>
      <c r="J267" s="4"/>
      <c r="K267" s="5" t="str">
        <f aca="false">IF(OR(F267="",H267="",I267=""),"",IF(D267="Long",(H267-F267)/F267*I267,(F267-H267)/F267*I267))</f>
        <v/>
      </c>
      <c r="L267" s="6" t="str">
        <f aca="false">IF(OR(K267="",J267="",J267=0),"",K267/J267)</f>
        <v/>
      </c>
      <c r="M267" s="3"/>
      <c r="N267" s="3"/>
      <c r="O267" s="3"/>
    </row>
    <row r="268" customFormat="false" ht="15" hidden="false" customHeight="false" outlineLevel="0" collapsed="false">
      <c r="A268" s="2"/>
      <c r="B268" s="3"/>
      <c r="C268" s="3"/>
      <c r="D268" s="3"/>
      <c r="E268" s="3"/>
      <c r="F268" s="4"/>
      <c r="G268" s="4"/>
      <c r="H268" s="4"/>
      <c r="I268" s="4"/>
      <c r="J268" s="4"/>
      <c r="K268" s="5" t="str">
        <f aca="false">IF(OR(F268="",H268="",I268=""),"",IF(D268="Long",(H268-F268)/F268*I268,(F268-H268)/F268*I268))</f>
        <v/>
      </c>
      <c r="L268" s="6" t="str">
        <f aca="false">IF(OR(K268="",J268="",J268=0),"",K268/J268)</f>
        <v/>
      </c>
      <c r="M268" s="3"/>
      <c r="N268" s="3"/>
      <c r="O268" s="3"/>
    </row>
    <row r="269" customFormat="false" ht="15" hidden="false" customHeight="false" outlineLevel="0" collapsed="false">
      <c r="A269" s="2"/>
      <c r="B269" s="3"/>
      <c r="C269" s="3"/>
      <c r="D269" s="3"/>
      <c r="E269" s="3"/>
      <c r="F269" s="4"/>
      <c r="G269" s="4"/>
      <c r="H269" s="4"/>
      <c r="I269" s="4"/>
      <c r="J269" s="4"/>
      <c r="K269" s="5" t="str">
        <f aca="false">IF(OR(F269="",H269="",I269=""),"",IF(D269="Long",(H269-F269)/F269*I269,(F269-H269)/F269*I269))</f>
        <v/>
      </c>
      <c r="L269" s="6" t="str">
        <f aca="false">IF(OR(K269="",J269="",J269=0),"",K269/J269)</f>
        <v/>
      </c>
      <c r="M269" s="3"/>
      <c r="N269" s="3"/>
      <c r="O269" s="3"/>
    </row>
    <row r="270" customFormat="false" ht="15" hidden="false" customHeight="false" outlineLevel="0" collapsed="false">
      <c r="A270" s="2"/>
      <c r="B270" s="3"/>
      <c r="C270" s="3"/>
      <c r="D270" s="3"/>
      <c r="E270" s="3"/>
      <c r="F270" s="4"/>
      <c r="G270" s="4"/>
      <c r="H270" s="4"/>
      <c r="I270" s="4"/>
      <c r="J270" s="4"/>
      <c r="K270" s="5" t="str">
        <f aca="false">IF(OR(F270="",H270="",I270=""),"",IF(D270="Long",(H270-F270)/F270*I270,(F270-H270)/F270*I270))</f>
        <v/>
      </c>
      <c r="L270" s="6" t="str">
        <f aca="false">IF(OR(K270="",J270="",J270=0),"",K270/J270)</f>
        <v/>
      </c>
      <c r="M270" s="3"/>
      <c r="N270" s="3"/>
      <c r="O270" s="3"/>
    </row>
    <row r="271" customFormat="false" ht="15" hidden="false" customHeight="false" outlineLevel="0" collapsed="false">
      <c r="A271" s="2"/>
      <c r="B271" s="3"/>
      <c r="C271" s="3"/>
      <c r="D271" s="3"/>
      <c r="E271" s="3"/>
      <c r="F271" s="4"/>
      <c r="G271" s="4"/>
      <c r="H271" s="4"/>
      <c r="I271" s="4"/>
      <c r="J271" s="4"/>
      <c r="K271" s="5" t="str">
        <f aca="false">IF(OR(F271="",H271="",I271=""),"",IF(D271="Long",(H271-F271)/F271*I271,(F271-H271)/F271*I271))</f>
        <v/>
      </c>
      <c r="L271" s="6" t="str">
        <f aca="false">IF(OR(K271="",J271="",J271=0),"",K271/J271)</f>
        <v/>
      </c>
      <c r="M271" s="3"/>
      <c r="N271" s="3"/>
      <c r="O271" s="3"/>
    </row>
    <row r="272" customFormat="false" ht="15" hidden="false" customHeight="false" outlineLevel="0" collapsed="false">
      <c r="A272" s="2"/>
      <c r="B272" s="3"/>
      <c r="C272" s="3"/>
      <c r="D272" s="3"/>
      <c r="E272" s="3"/>
      <c r="F272" s="4"/>
      <c r="G272" s="4"/>
      <c r="H272" s="4"/>
      <c r="I272" s="4"/>
      <c r="J272" s="4"/>
      <c r="K272" s="5" t="str">
        <f aca="false">IF(OR(F272="",H272="",I272=""),"",IF(D272="Long",(H272-F272)/F272*I272,(F272-H272)/F272*I272))</f>
        <v/>
      </c>
      <c r="L272" s="6" t="str">
        <f aca="false">IF(OR(K272="",J272="",J272=0),"",K272/J272)</f>
        <v/>
      </c>
      <c r="M272" s="3"/>
      <c r="N272" s="3"/>
      <c r="O272" s="3"/>
    </row>
    <row r="273" customFormat="false" ht="15" hidden="false" customHeight="false" outlineLevel="0" collapsed="false">
      <c r="A273" s="2"/>
      <c r="B273" s="3"/>
      <c r="C273" s="3"/>
      <c r="D273" s="3"/>
      <c r="E273" s="3"/>
      <c r="F273" s="4"/>
      <c r="G273" s="4"/>
      <c r="H273" s="4"/>
      <c r="I273" s="4"/>
      <c r="J273" s="4"/>
      <c r="K273" s="5" t="str">
        <f aca="false">IF(OR(F273="",H273="",I273=""),"",IF(D273="Long",(H273-F273)/F273*I273,(F273-H273)/F273*I273))</f>
        <v/>
      </c>
      <c r="L273" s="6" t="str">
        <f aca="false">IF(OR(K273="",J273="",J273=0),"",K273/J273)</f>
        <v/>
      </c>
      <c r="M273" s="3"/>
      <c r="N273" s="3"/>
      <c r="O273" s="3"/>
    </row>
    <row r="274" customFormat="false" ht="15" hidden="false" customHeight="false" outlineLevel="0" collapsed="false">
      <c r="A274" s="2"/>
      <c r="B274" s="3"/>
      <c r="C274" s="3"/>
      <c r="D274" s="3"/>
      <c r="E274" s="3"/>
      <c r="F274" s="4"/>
      <c r="G274" s="4"/>
      <c r="H274" s="4"/>
      <c r="I274" s="4"/>
      <c r="J274" s="4"/>
      <c r="K274" s="5" t="str">
        <f aca="false">IF(OR(F274="",H274="",I274=""),"",IF(D274="Long",(H274-F274)/F274*I274,(F274-H274)/F274*I274))</f>
        <v/>
      </c>
      <c r="L274" s="6" t="str">
        <f aca="false">IF(OR(K274="",J274="",J274=0),"",K274/J274)</f>
        <v/>
      </c>
      <c r="M274" s="3"/>
      <c r="N274" s="3"/>
      <c r="O274" s="3"/>
    </row>
    <row r="275" customFormat="false" ht="15" hidden="false" customHeight="false" outlineLevel="0" collapsed="false">
      <c r="A275" s="2"/>
      <c r="B275" s="3"/>
      <c r="C275" s="3"/>
      <c r="D275" s="3"/>
      <c r="E275" s="3"/>
      <c r="F275" s="4"/>
      <c r="G275" s="4"/>
      <c r="H275" s="4"/>
      <c r="I275" s="4"/>
      <c r="J275" s="4"/>
      <c r="K275" s="5" t="str">
        <f aca="false">IF(OR(F275="",H275="",I275=""),"",IF(D275="Long",(H275-F275)/F275*I275,(F275-H275)/F275*I275))</f>
        <v/>
      </c>
      <c r="L275" s="6" t="str">
        <f aca="false">IF(OR(K275="",J275="",J275=0),"",K275/J275)</f>
        <v/>
      </c>
      <c r="M275" s="3"/>
      <c r="N275" s="3"/>
      <c r="O275" s="3"/>
    </row>
    <row r="276" customFormat="false" ht="15" hidden="false" customHeight="false" outlineLevel="0" collapsed="false">
      <c r="A276" s="2"/>
      <c r="B276" s="3"/>
      <c r="C276" s="3"/>
      <c r="D276" s="3"/>
      <c r="E276" s="3"/>
      <c r="F276" s="4"/>
      <c r="G276" s="4"/>
      <c r="H276" s="4"/>
      <c r="I276" s="4"/>
      <c r="J276" s="4"/>
      <c r="K276" s="5" t="str">
        <f aca="false">IF(OR(F276="",H276="",I276=""),"",IF(D276="Long",(H276-F276)/F276*I276,(F276-H276)/F276*I276))</f>
        <v/>
      </c>
      <c r="L276" s="6" t="str">
        <f aca="false">IF(OR(K276="",J276="",J276=0),"",K276/J276)</f>
        <v/>
      </c>
      <c r="M276" s="3"/>
      <c r="N276" s="3"/>
      <c r="O276" s="3"/>
    </row>
    <row r="277" customFormat="false" ht="15" hidden="false" customHeight="false" outlineLevel="0" collapsed="false">
      <c r="A277" s="2"/>
      <c r="B277" s="3"/>
      <c r="C277" s="3"/>
      <c r="D277" s="3"/>
      <c r="E277" s="3"/>
      <c r="F277" s="4"/>
      <c r="G277" s="4"/>
      <c r="H277" s="4"/>
      <c r="I277" s="4"/>
      <c r="J277" s="4"/>
      <c r="K277" s="5" t="str">
        <f aca="false">IF(OR(F277="",H277="",I277=""),"",IF(D277="Long",(H277-F277)/F277*I277,(F277-H277)/F277*I277))</f>
        <v/>
      </c>
      <c r="L277" s="6" t="str">
        <f aca="false">IF(OR(K277="",J277="",J277=0),"",K277/J277)</f>
        <v/>
      </c>
      <c r="M277" s="3"/>
      <c r="N277" s="3"/>
      <c r="O277" s="3"/>
    </row>
    <row r="278" customFormat="false" ht="15" hidden="false" customHeight="false" outlineLevel="0" collapsed="false">
      <c r="A278" s="2"/>
      <c r="B278" s="3"/>
      <c r="C278" s="3"/>
      <c r="D278" s="3"/>
      <c r="E278" s="3"/>
      <c r="F278" s="4"/>
      <c r="G278" s="4"/>
      <c r="H278" s="4"/>
      <c r="I278" s="4"/>
      <c r="J278" s="4"/>
      <c r="K278" s="5" t="str">
        <f aca="false">IF(OR(F278="",H278="",I278=""),"",IF(D278="Long",(H278-F278)/F278*I278,(F278-H278)/F278*I278))</f>
        <v/>
      </c>
      <c r="L278" s="6" t="str">
        <f aca="false">IF(OR(K278="",J278="",J278=0),"",K278/J278)</f>
        <v/>
      </c>
      <c r="M278" s="3"/>
      <c r="N278" s="3"/>
      <c r="O278" s="3"/>
    </row>
    <row r="279" customFormat="false" ht="15" hidden="false" customHeight="false" outlineLevel="0" collapsed="false">
      <c r="A279" s="2"/>
      <c r="B279" s="3"/>
      <c r="C279" s="3"/>
      <c r="D279" s="3"/>
      <c r="E279" s="3"/>
      <c r="F279" s="4"/>
      <c r="G279" s="4"/>
      <c r="H279" s="4"/>
      <c r="I279" s="4"/>
      <c r="J279" s="4"/>
      <c r="K279" s="5" t="str">
        <f aca="false">IF(OR(F279="",H279="",I279=""),"",IF(D279="Long",(H279-F279)/F279*I279,(F279-H279)/F279*I279))</f>
        <v/>
      </c>
      <c r="L279" s="6" t="str">
        <f aca="false">IF(OR(K279="",J279="",J279=0),"",K279/J279)</f>
        <v/>
      </c>
      <c r="M279" s="3"/>
      <c r="N279" s="3"/>
      <c r="O279" s="3"/>
    </row>
    <row r="280" customFormat="false" ht="15" hidden="false" customHeight="false" outlineLevel="0" collapsed="false">
      <c r="A280" s="2"/>
      <c r="B280" s="3"/>
      <c r="C280" s="3"/>
      <c r="D280" s="3"/>
      <c r="E280" s="3"/>
      <c r="F280" s="4"/>
      <c r="G280" s="4"/>
      <c r="H280" s="4"/>
      <c r="I280" s="4"/>
      <c r="J280" s="4"/>
      <c r="K280" s="5" t="str">
        <f aca="false">IF(OR(F280="",H280="",I280=""),"",IF(D280="Long",(H280-F280)/F280*I280,(F280-H280)/F280*I280))</f>
        <v/>
      </c>
      <c r="L280" s="6" t="str">
        <f aca="false">IF(OR(K280="",J280="",J280=0),"",K280/J280)</f>
        <v/>
      </c>
      <c r="M280" s="3"/>
      <c r="N280" s="3"/>
      <c r="O280" s="3"/>
    </row>
    <row r="281" customFormat="false" ht="15" hidden="false" customHeight="false" outlineLevel="0" collapsed="false">
      <c r="A281" s="2"/>
      <c r="B281" s="3"/>
      <c r="C281" s="3"/>
      <c r="D281" s="3"/>
      <c r="E281" s="3"/>
      <c r="F281" s="4"/>
      <c r="G281" s="4"/>
      <c r="H281" s="4"/>
      <c r="I281" s="4"/>
      <c r="J281" s="4"/>
      <c r="K281" s="5" t="str">
        <f aca="false">IF(OR(F281="",H281="",I281=""),"",IF(D281="Long",(H281-F281)/F281*I281,(F281-H281)/F281*I281))</f>
        <v/>
      </c>
      <c r="L281" s="6" t="str">
        <f aca="false">IF(OR(K281="",J281="",J281=0),"",K281/J281)</f>
        <v/>
      </c>
      <c r="M281" s="3"/>
      <c r="N281" s="3"/>
      <c r="O281" s="3"/>
    </row>
    <row r="282" customFormat="false" ht="15" hidden="false" customHeight="false" outlineLevel="0" collapsed="false">
      <c r="A282" s="2"/>
      <c r="B282" s="3"/>
      <c r="C282" s="3"/>
      <c r="D282" s="3"/>
      <c r="E282" s="3"/>
      <c r="F282" s="4"/>
      <c r="G282" s="4"/>
      <c r="H282" s="4"/>
      <c r="I282" s="4"/>
      <c r="J282" s="4"/>
      <c r="K282" s="5" t="str">
        <f aca="false">IF(OR(F282="",H282="",I282=""),"",IF(D282="Long",(H282-F282)/F282*I282,(F282-H282)/F282*I282))</f>
        <v/>
      </c>
      <c r="L282" s="6" t="str">
        <f aca="false">IF(OR(K282="",J282="",J282=0),"",K282/J282)</f>
        <v/>
      </c>
      <c r="M282" s="3"/>
      <c r="N282" s="3"/>
      <c r="O282" s="3"/>
    </row>
    <row r="283" customFormat="false" ht="15" hidden="false" customHeight="false" outlineLevel="0" collapsed="false">
      <c r="A283" s="2"/>
      <c r="B283" s="3"/>
      <c r="C283" s="3"/>
      <c r="D283" s="3"/>
      <c r="E283" s="3"/>
      <c r="F283" s="4"/>
      <c r="G283" s="4"/>
      <c r="H283" s="4"/>
      <c r="I283" s="4"/>
      <c r="J283" s="4"/>
      <c r="K283" s="5" t="str">
        <f aca="false">IF(OR(F283="",H283="",I283=""),"",IF(D283="Long",(H283-F283)/F283*I283,(F283-H283)/F283*I283))</f>
        <v/>
      </c>
      <c r="L283" s="6" t="str">
        <f aca="false">IF(OR(K283="",J283="",J283=0),"",K283/J283)</f>
        <v/>
      </c>
      <c r="M283" s="3"/>
      <c r="N283" s="3"/>
      <c r="O283" s="3"/>
    </row>
    <row r="284" customFormat="false" ht="15" hidden="false" customHeight="false" outlineLevel="0" collapsed="false">
      <c r="A284" s="2"/>
      <c r="B284" s="3"/>
      <c r="C284" s="3"/>
      <c r="D284" s="3"/>
      <c r="E284" s="3"/>
      <c r="F284" s="4"/>
      <c r="G284" s="4"/>
      <c r="H284" s="4"/>
      <c r="I284" s="4"/>
      <c r="J284" s="4"/>
      <c r="K284" s="5" t="str">
        <f aca="false">IF(OR(F284="",H284="",I284=""),"",IF(D284="Long",(H284-F284)/F284*I284,(F284-H284)/F284*I284))</f>
        <v/>
      </c>
      <c r="L284" s="6" t="str">
        <f aca="false">IF(OR(K284="",J284="",J284=0),"",K284/J284)</f>
        <v/>
      </c>
      <c r="M284" s="3"/>
      <c r="N284" s="3"/>
      <c r="O284" s="3"/>
    </row>
    <row r="285" customFormat="false" ht="15" hidden="false" customHeight="false" outlineLevel="0" collapsed="false">
      <c r="A285" s="2"/>
      <c r="B285" s="3"/>
      <c r="C285" s="3"/>
      <c r="D285" s="3"/>
      <c r="E285" s="3"/>
      <c r="F285" s="4"/>
      <c r="G285" s="4"/>
      <c r="H285" s="4"/>
      <c r="I285" s="4"/>
      <c r="J285" s="4"/>
      <c r="K285" s="5" t="str">
        <f aca="false">IF(OR(F285="",H285="",I285=""),"",IF(D285="Long",(H285-F285)/F285*I285,(F285-H285)/F285*I285))</f>
        <v/>
      </c>
      <c r="L285" s="6" t="str">
        <f aca="false">IF(OR(K285="",J285="",J285=0),"",K285/J285)</f>
        <v/>
      </c>
      <c r="M285" s="3"/>
      <c r="N285" s="3"/>
      <c r="O285" s="3"/>
    </row>
    <row r="286" customFormat="false" ht="15" hidden="false" customHeight="false" outlineLevel="0" collapsed="false">
      <c r="A286" s="2"/>
      <c r="B286" s="3"/>
      <c r="C286" s="3"/>
      <c r="D286" s="3"/>
      <c r="E286" s="3"/>
      <c r="F286" s="4"/>
      <c r="G286" s="4"/>
      <c r="H286" s="4"/>
      <c r="I286" s="4"/>
      <c r="J286" s="4"/>
      <c r="K286" s="5" t="str">
        <f aca="false">IF(OR(F286="",H286="",I286=""),"",IF(D286="Long",(H286-F286)/F286*I286,(F286-H286)/F286*I286))</f>
        <v/>
      </c>
      <c r="L286" s="6" t="str">
        <f aca="false">IF(OR(K286="",J286="",J286=0),"",K286/J286)</f>
        <v/>
      </c>
      <c r="M286" s="3"/>
      <c r="N286" s="3"/>
      <c r="O286" s="3"/>
    </row>
    <row r="287" customFormat="false" ht="15" hidden="false" customHeight="false" outlineLevel="0" collapsed="false">
      <c r="A287" s="2"/>
      <c r="B287" s="3"/>
      <c r="C287" s="3"/>
      <c r="D287" s="3"/>
      <c r="E287" s="3"/>
      <c r="F287" s="4"/>
      <c r="G287" s="4"/>
      <c r="H287" s="4"/>
      <c r="I287" s="4"/>
      <c r="J287" s="4"/>
      <c r="K287" s="5" t="str">
        <f aca="false">IF(OR(F287="",H287="",I287=""),"",IF(D287="Long",(H287-F287)/F287*I287,(F287-H287)/F287*I287))</f>
        <v/>
      </c>
      <c r="L287" s="6" t="str">
        <f aca="false">IF(OR(K287="",J287="",J287=0),"",K287/J287)</f>
        <v/>
      </c>
      <c r="M287" s="3"/>
      <c r="N287" s="3"/>
      <c r="O287" s="3"/>
    </row>
    <row r="288" customFormat="false" ht="15" hidden="false" customHeight="false" outlineLevel="0" collapsed="false">
      <c r="A288" s="2"/>
      <c r="B288" s="3"/>
      <c r="C288" s="3"/>
      <c r="D288" s="3"/>
      <c r="E288" s="3"/>
      <c r="F288" s="4"/>
      <c r="G288" s="4"/>
      <c r="H288" s="4"/>
      <c r="I288" s="4"/>
      <c r="J288" s="4"/>
      <c r="K288" s="5" t="str">
        <f aca="false">IF(OR(F288="",H288="",I288=""),"",IF(D288="Long",(H288-F288)/F288*I288,(F288-H288)/F288*I288))</f>
        <v/>
      </c>
      <c r="L288" s="6" t="str">
        <f aca="false">IF(OR(K288="",J288="",J288=0),"",K288/J288)</f>
        <v/>
      </c>
      <c r="M288" s="3"/>
      <c r="N288" s="3"/>
      <c r="O288" s="3"/>
    </row>
    <row r="289" customFormat="false" ht="15" hidden="false" customHeight="false" outlineLevel="0" collapsed="false">
      <c r="A289" s="2"/>
      <c r="B289" s="3"/>
      <c r="C289" s="3"/>
      <c r="D289" s="3"/>
      <c r="E289" s="3"/>
      <c r="F289" s="4"/>
      <c r="G289" s="4"/>
      <c r="H289" s="4"/>
      <c r="I289" s="4"/>
      <c r="J289" s="4"/>
      <c r="K289" s="5" t="str">
        <f aca="false">IF(OR(F289="",H289="",I289=""),"",IF(D289="Long",(H289-F289)/F289*I289,(F289-H289)/F289*I289))</f>
        <v/>
      </c>
      <c r="L289" s="6" t="str">
        <f aca="false">IF(OR(K289="",J289="",J289=0),"",K289/J289)</f>
        <v/>
      </c>
      <c r="M289" s="3"/>
      <c r="N289" s="3"/>
      <c r="O289" s="3"/>
    </row>
    <row r="290" customFormat="false" ht="15" hidden="false" customHeight="false" outlineLevel="0" collapsed="false">
      <c r="A290" s="2"/>
      <c r="B290" s="3"/>
      <c r="C290" s="3"/>
      <c r="D290" s="3"/>
      <c r="E290" s="3"/>
      <c r="F290" s="4"/>
      <c r="G290" s="4"/>
      <c r="H290" s="4"/>
      <c r="I290" s="4"/>
      <c r="J290" s="4"/>
      <c r="K290" s="5" t="str">
        <f aca="false">IF(OR(F290="",H290="",I290=""),"",IF(D290="Long",(H290-F290)/F290*I290,(F290-H290)/F290*I290))</f>
        <v/>
      </c>
      <c r="L290" s="6" t="str">
        <f aca="false">IF(OR(K290="",J290="",J290=0),"",K290/J290)</f>
        <v/>
      </c>
      <c r="M290" s="3"/>
      <c r="N290" s="3"/>
      <c r="O290" s="3"/>
    </row>
    <row r="291" customFormat="false" ht="15" hidden="false" customHeight="false" outlineLevel="0" collapsed="false">
      <c r="A291" s="2"/>
      <c r="B291" s="3"/>
      <c r="C291" s="3"/>
      <c r="D291" s="3"/>
      <c r="E291" s="3"/>
      <c r="F291" s="4"/>
      <c r="G291" s="4"/>
      <c r="H291" s="4"/>
      <c r="I291" s="4"/>
      <c r="J291" s="4"/>
      <c r="K291" s="5" t="str">
        <f aca="false">IF(OR(F291="",H291="",I291=""),"",IF(D291="Long",(H291-F291)/F291*I291,(F291-H291)/F291*I291))</f>
        <v/>
      </c>
      <c r="L291" s="6" t="str">
        <f aca="false">IF(OR(K291="",J291="",J291=0),"",K291/J291)</f>
        <v/>
      </c>
      <c r="M291" s="3"/>
      <c r="N291" s="3"/>
      <c r="O291" s="3"/>
    </row>
    <row r="292" customFormat="false" ht="15" hidden="false" customHeight="false" outlineLevel="0" collapsed="false">
      <c r="A292" s="2"/>
      <c r="B292" s="3"/>
      <c r="C292" s="3"/>
      <c r="D292" s="3"/>
      <c r="E292" s="3"/>
      <c r="F292" s="4"/>
      <c r="G292" s="4"/>
      <c r="H292" s="4"/>
      <c r="I292" s="4"/>
      <c r="J292" s="4"/>
      <c r="K292" s="5" t="str">
        <f aca="false">IF(OR(F292="",H292="",I292=""),"",IF(D292="Long",(H292-F292)/F292*I292,(F292-H292)/F292*I292))</f>
        <v/>
      </c>
      <c r="L292" s="6" t="str">
        <f aca="false">IF(OR(K292="",J292="",J292=0),"",K292/J292)</f>
        <v/>
      </c>
      <c r="M292" s="3"/>
      <c r="N292" s="3"/>
      <c r="O292" s="3"/>
    </row>
    <row r="293" customFormat="false" ht="15" hidden="false" customHeight="false" outlineLevel="0" collapsed="false">
      <c r="A293" s="2"/>
      <c r="B293" s="3"/>
      <c r="C293" s="3"/>
      <c r="D293" s="3"/>
      <c r="E293" s="3"/>
      <c r="F293" s="4"/>
      <c r="G293" s="4"/>
      <c r="H293" s="4"/>
      <c r="I293" s="4"/>
      <c r="J293" s="4"/>
      <c r="K293" s="5" t="str">
        <f aca="false">IF(OR(F293="",H293="",I293=""),"",IF(D293="Long",(H293-F293)/F293*I293,(F293-H293)/F293*I293))</f>
        <v/>
      </c>
      <c r="L293" s="6" t="str">
        <f aca="false">IF(OR(K293="",J293="",J293=0),"",K293/J293)</f>
        <v/>
      </c>
      <c r="M293" s="3"/>
      <c r="N293" s="3"/>
      <c r="O293" s="3"/>
    </row>
    <row r="294" customFormat="false" ht="15" hidden="false" customHeight="false" outlineLevel="0" collapsed="false">
      <c r="A294" s="2"/>
      <c r="B294" s="3"/>
      <c r="C294" s="3"/>
      <c r="D294" s="3"/>
      <c r="E294" s="3"/>
      <c r="F294" s="4"/>
      <c r="G294" s="4"/>
      <c r="H294" s="4"/>
      <c r="I294" s="4"/>
      <c r="J294" s="4"/>
      <c r="K294" s="5" t="str">
        <f aca="false">IF(OR(F294="",H294="",I294=""),"",IF(D294="Long",(H294-F294)/F294*I294,(F294-H294)/F294*I294))</f>
        <v/>
      </c>
      <c r="L294" s="6" t="str">
        <f aca="false">IF(OR(K294="",J294="",J294=0),"",K294/J294)</f>
        <v/>
      </c>
      <c r="M294" s="3"/>
      <c r="N294" s="3"/>
      <c r="O294" s="3"/>
    </row>
    <row r="295" customFormat="false" ht="15" hidden="false" customHeight="false" outlineLevel="0" collapsed="false">
      <c r="A295" s="2"/>
      <c r="B295" s="3"/>
      <c r="C295" s="3"/>
      <c r="D295" s="3"/>
      <c r="E295" s="3"/>
      <c r="F295" s="4"/>
      <c r="G295" s="4"/>
      <c r="H295" s="4"/>
      <c r="I295" s="4"/>
      <c r="J295" s="4"/>
      <c r="K295" s="5" t="str">
        <f aca="false">IF(OR(F295="",H295="",I295=""),"",IF(D295="Long",(H295-F295)/F295*I295,(F295-H295)/F295*I295))</f>
        <v/>
      </c>
      <c r="L295" s="6" t="str">
        <f aca="false">IF(OR(K295="",J295="",J295=0),"",K295/J295)</f>
        <v/>
      </c>
      <c r="M295" s="3"/>
      <c r="N295" s="3"/>
      <c r="O295" s="3"/>
    </row>
    <row r="296" customFormat="false" ht="15" hidden="false" customHeight="false" outlineLevel="0" collapsed="false">
      <c r="A296" s="2"/>
      <c r="B296" s="3"/>
      <c r="C296" s="3"/>
      <c r="D296" s="3"/>
      <c r="E296" s="3"/>
      <c r="F296" s="4"/>
      <c r="G296" s="4"/>
      <c r="H296" s="4"/>
      <c r="I296" s="4"/>
      <c r="J296" s="4"/>
      <c r="K296" s="5" t="str">
        <f aca="false">IF(OR(F296="",H296="",I296=""),"",IF(D296="Long",(H296-F296)/F296*I296,(F296-H296)/F296*I296))</f>
        <v/>
      </c>
      <c r="L296" s="6" t="str">
        <f aca="false">IF(OR(K296="",J296="",J296=0),"",K296/J296)</f>
        <v/>
      </c>
      <c r="M296" s="3"/>
      <c r="N296" s="3"/>
      <c r="O296" s="3"/>
    </row>
    <row r="297" customFormat="false" ht="15" hidden="false" customHeight="false" outlineLevel="0" collapsed="false">
      <c r="A297" s="2"/>
      <c r="B297" s="3"/>
      <c r="C297" s="3"/>
      <c r="D297" s="3"/>
      <c r="E297" s="3"/>
      <c r="F297" s="4"/>
      <c r="G297" s="4"/>
      <c r="H297" s="4"/>
      <c r="I297" s="4"/>
      <c r="J297" s="4"/>
      <c r="K297" s="5" t="str">
        <f aca="false">IF(OR(F297="",H297="",I297=""),"",IF(D297="Long",(H297-F297)/F297*I297,(F297-H297)/F297*I297))</f>
        <v/>
      </c>
      <c r="L297" s="6" t="str">
        <f aca="false">IF(OR(K297="",J297="",J297=0),"",K297/J297)</f>
        <v/>
      </c>
      <c r="M297" s="3"/>
      <c r="N297" s="3"/>
      <c r="O297" s="3"/>
    </row>
    <row r="298" customFormat="false" ht="15" hidden="false" customHeight="false" outlineLevel="0" collapsed="false">
      <c r="A298" s="2"/>
      <c r="B298" s="3"/>
      <c r="C298" s="3"/>
      <c r="D298" s="3"/>
      <c r="E298" s="3"/>
      <c r="F298" s="4"/>
      <c r="G298" s="4"/>
      <c r="H298" s="4"/>
      <c r="I298" s="4"/>
      <c r="J298" s="4"/>
      <c r="K298" s="5" t="str">
        <f aca="false">IF(OR(F298="",H298="",I298=""),"",IF(D298="Long",(H298-F298)/F298*I298,(F298-H298)/F298*I298))</f>
        <v/>
      </c>
      <c r="L298" s="6" t="str">
        <f aca="false">IF(OR(K298="",J298="",J298=0),"",K298/J298)</f>
        <v/>
      </c>
      <c r="M298" s="3"/>
      <c r="N298" s="3"/>
      <c r="O298" s="3"/>
    </row>
    <row r="299" customFormat="false" ht="15" hidden="false" customHeight="false" outlineLevel="0" collapsed="false">
      <c r="A299" s="2"/>
      <c r="B299" s="3"/>
      <c r="C299" s="3"/>
      <c r="D299" s="3"/>
      <c r="E299" s="3"/>
      <c r="F299" s="4"/>
      <c r="G299" s="4"/>
      <c r="H299" s="4"/>
      <c r="I299" s="4"/>
      <c r="J299" s="4"/>
      <c r="K299" s="5" t="str">
        <f aca="false">IF(OR(F299="",H299="",I299=""),"",IF(D299="Long",(H299-F299)/F299*I299,(F299-H299)/F299*I299))</f>
        <v/>
      </c>
      <c r="L299" s="6" t="str">
        <f aca="false">IF(OR(K299="",J299="",J299=0),"",K299/J299)</f>
        <v/>
      </c>
      <c r="M299" s="3"/>
      <c r="N299" s="3"/>
      <c r="O299" s="3"/>
    </row>
    <row r="300" customFormat="false" ht="15" hidden="false" customHeight="false" outlineLevel="0" collapsed="false">
      <c r="A300" s="2"/>
      <c r="B300" s="3"/>
      <c r="C300" s="3"/>
      <c r="D300" s="3"/>
      <c r="E300" s="3"/>
      <c r="F300" s="4"/>
      <c r="G300" s="4"/>
      <c r="H300" s="4"/>
      <c r="I300" s="4"/>
      <c r="J300" s="4"/>
      <c r="K300" s="5" t="str">
        <f aca="false">IF(OR(F300="",H300="",I300=""),"",IF(D300="Long",(H300-F300)/F300*I300,(F300-H300)/F300*I300))</f>
        <v/>
      </c>
      <c r="L300" s="6" t="str">
        <f aca="false">IF(OR(K300="",J300="",J300=0),"",K300/J300)</f>
        <v/>
      </c>
      <c r="M300" s="3"/>
      <c r="N300" s="3"/>
      <c r="O300" s="3"/>
    </row>
    <row r="301" customFormat="false" ht="15" hidden="false" customHeight="false" outlineLevel="0" collapsed="false">
      <c r="A301" s="2"/>
      <c r="B301" s="3"/>
      <c r="C301" s="3"/>
      <c r="D301" s="3"/>
      <c r="E301" s="3"/>
      <c r="F301" s="4"/>
      <c r="G301" s="4"/>
      <c r="H301" s="4"/>
      <c r="I301" s="4"/>
      <c r="J301" s="4"/>
      <c r="K301" s="5" t="str">
        <f aca="false">IF(OR(F301="",H301="",I301=""),"",IF(D301="Long",(H301-F301)/F301*I301,(F301-H301)/F301*I301))</f>
        <v/>
      </c>
      <c r="L301" s="6" t="str">
        <f aca="false">IF(OR(K301="",J301="",J301=0),"",K301/J301)</f>
        <v/>
      </c>
      <c r="M301" s="3"/>
      <c r="N301" s="3"/>
      <c r="O301" s="3"/>
    </row>
    <row r="302" customFormat="false" ht="15" hidden="false" customHeight="false" outlineLevel="0" collapsed="false">
      <c r="A302" s="2"/>
      <c r="B302" s="3"/>
      <c r="C302" s="3"/>
      <c r="D302" s="3"/>
      <c r="E302" s="3"/>
      <c r="F302" s="4"/>
      <c r="G302" s="4"/>
      <c r="H302" s="4"/>
      <c r="I302" s="4"/>
      <c r="J302" s="4"/>
      <c r="K302" s="5" t="str">
        <f aca="false">IF(OR(F302="",H302="",I302=""),"",IF(D302="Long",(H302-F302)/F302*I302,(F302-H302)/F302*I302))</f>
        <v/>
      </c>
      <c r="L302" s="6" t="str">
        <f aca="false">IF(OR(K302="",J302="",J302=0),"",K302/J302)</f>
        <v/>
      </c>
      <c r="M302" s="3"/>
      <c r="N302" s="3"/>
      <c r="O302" s="3"/>
    </row>
    <row r="303" customFormat="false" ht="15" hidden="false" customHeight="false" outlineLevel="0" collapsed="false">
      <c r="A303" s="2"/>
      <c r="B303" s="3"/>
      <c r="C303" s="3"/>
      <c r="D303" s="3"/>
      <c r="E303" s="3"/>
      <c r="F303" s="4"/>
      <c r="G303" s="4"/>
      <c r="H303" s="4"/>
      <c r="I303" s="4"/>
      <c r="J303" s="4"/>
      <c r="K303" s="5" t="str">
        <f aca="false">IF(OR(F303="",H303="",I303=""),"",IF(D303="Long",(H303-F303)/F303*I303,(F303-H303)/F303*I303))</f>
        <v/>
      </c>
      <c r="L303" s="6" t="str">
        <f aca="false">IF(OR(K303="",J303="",J303=0),"",K303/J303)</f>
        <v/>
      </c>
      <c r="M303" s="3"/>
      <c r="N303" s="3"/>
      <c r="O303" s="3"/>
    </row>
    <row r="304" customFormat="false" ht="15" hidden="false" customHeight="false" outlineLevel="0" collapsed="false">
      <c r="A304" s="2"/>
      <c r="B304" s="3"/>
      <c r="C304" s="3"/>
      <c r="D304" s="3"/>
      <c r="E304" s="3"/>
      <c r="F304" s="4"/>
      <c r="G304" s="4"/>
      <c r="H304" s="4"/>
      <c r="I304" s="4"/>
      <c r="J304" s="4"/>
      <c r="K304" s="5" t="str">
        <f aca="false">IF(OR(F304="",H304="",I304=""),"",IF(D304="Long",(H304-F304)/F304*I304,(F304-H304)/F304*I304))</f>
        <v/>
      </c>
      <c r="L304" s="6" t="str">
        <f aca="false">IF(OR(K304="",J304="",J304=0),"",K304/J304)</f>
        <v/>
      </c>
      <c r="M304" s="3"/>
      <c r="N304" s="3"/>
      <c r="O304" s="3"/>
    </row>
    <row r="305" customFormat="false" ht="15" hidden="false" customHeight="false" outlineLevel="0" collapsed="false">
      <c r="A305" s="2"/>
      <c r="B305" s="3"/>
      <c r="C305" s="3"/>
      <c r="D305" s="3"/>
      <c r="E305" s="3"/>
      <c r="F305" s="4"/>
      <c r="G305" s="4"/>
      <c r="H305" s="4"/>
      <c r="I305" s="4"/>
      <c r="J305" s="4"/>
      <c r="K305" s="5" t="str">
        <f aca="false">IF(OR(F305="",H305="",I305=""),"",IF(D305="Long",(H305-F305)/F305*I305,(F305-H305)/F305*I305))</f>
        <v/>
      </c>
      <c r="L305" s="6" t="str">
        <f aca="false">IF(OR(K305="",J305="",J305=0),"",K305/J305)</f>
        <v/>
      </c>
      <c r="M305" s="3"/>
      <c r="N305" s="3"/>
      <c r="O305" s="3"/>
    </row>
    <row r="306" customFormat="false" ht="15" hidden="false" customHeight="false" outlineLevel="0" collapsed="false">
      <c r="A306" s="2"/>
      <c r="B306" s="3"/>
      <c r="C306" s="3"/>
      <c r="D306" s="3"/>
      <c r="E306" s="3"/>
      <c r="F306" s="4"/>
      <c r="G306" s="4"/>
      <c r="H306" s="4"/>
      <c r="I306" s="4"/>
      <c r="J306" s="4"/>
      <c r="K306" s="5" t="str">
        <f aca="false">IF(OR(F306="",H306="",I306=""),"",IF(D306="Long",(H306-F306)/F306*I306,(F306-H306)/F306*I306))</f>
        <v/>
      </c>
      <c r="L306" s="6" t="str">
        <f aca="false">IF(OR(K306="",J306="",J306=0),"",K306/J306)</f>
        <v/>
      </c>
      <c r="M306" s="3"/>
      <c r="N306" s="3"/>
      <c r="O306" s="3"/>
    </row>
    <row r="307" customFormat="false" ht="15" hidden="false" customHeight="false" outlineLevel="0" collapsed="false">
      <c r="A307" s="2"/>
      <c r="B307" s="3"/>
      <c r="C307" s="3"/>
      <c r="D307" s="3"/>
      <c r="E307" s="3"/>
      <c r="F307" s="4"/>
      <c r="G307" s="4"/>
      <c r="H307" s="4"/>
      <c r="I307" s="4"/>
      <c r="J307" s="4"/>
      <c r="K307" s="5" t="str">
        <f aca="false">IF(OR(F307="",H307="",I307=""),"",IF(D307="Long",(H307-F307)/F307*I307,(F307-H307)/F307*I307))</f>
        <v/>
      </c>
      <c r="L307" s="6" t="str">
        <f aca="false">IF(OR(K307="",J307="",J307=0),"",K307/J307)</f>
        <v/>
      </c>
      <c r="M307" s="3"/>
      <c r="N307" s="3"/>
      <c r="O307" s="3"/>
    </row>
    <row r="308" customFormat="false" ht="15" hidden="false" customHeight="false" outlineLevel="0" collapsed="false">
      <c r="A308" s="2"/>
      <c r="B308" s="3"/>
      <c r="C308" s="3"/>
      <c r="D308" s="3"/>
      <c r="E308" s="3"/>
      <c r="F308" s="4"/>
      <c r="G308" s="4"/>
      <c r="H308" s="4"/>
      <c r="I308" s="4"/>
      <c r="J308" s="4"/>
      <c r="K308" s="5" t="str">
        <f aca="false">IF(OR(F308="",H308="",I308=""),"",IF(D308="Long",(H308-F308)/F308*I308,(F308-H308)/F308*I308))</f>
        <v/>
      </c>
      <c r="L308" s="6" t="str">
        <f aca="false">IF(OR(K308="",J308="",J308=0),"",K308/J308)</f>
        <v/>
      </c>
      <c r="M308" s="3"/>
      <c r="N308" s="3"/>
      <c r="O308" s="3"/>
    </row>
    <row r="309" customFormat="false" ht="15" hidden="false" customHeight="false" outlineLevel="0" collapsed="false">
      <c r="A309" s="2"/>
      <c r="B309" s="3"/>
      <c r="C309" s="3"/>
      <c r="D309" s="3"/>
      <c r="E309" s="3"/>
      <c r="F309" s="4"/>
      <c r="G309" s="4"/>
      <c r="H309" s="4"/>
      <c r="I309" s="4"/>
      <c r="J309" s="4"/>
      <c r="K309" s="5" t="str">
        <f aca="false">IF(OR(F309="",H309="",I309=""),"",IF(D309="Long",(H309-F309)/F309*I309,(F309-H309)/F309*I309))</f>
        <v/>
      </c>
      <c r="L309" s="6" t="str">
        <f aca="false">IF(OR(K309="",J309="",J309=0),"",K309/J309)</f>
        <v/>
      </c>
      <c r="M309" s="3"/>
      <c r="N309" s="3"/>
      <c r="O309" s="3"/>
    </row>
    <row r="310" customFormat="false" ht="15" hidden="false" customHeight="false" outlineLevel="0" collapsed="false">
      <c r="A310" s="2"/>
      <c r="B310" s="3"/>
      <c r="C310" s="3"/>
      <c r="D310" s="3"/>
      <c r="E310" s="3"/>
      <c r="F310" s="4"/>
      <c r="G310" s="4"/>
      <c r="H310" s="4"/>
      <c r="I310" s="4"/>
      <c r="J310" s="4"/>
      <c r="K310" s="5" t="str">
        <f aca="false">IF(OR(F310="",H310="",I310=""),"",IF(D310="Long",(H310-F310)/F310*I310,(F310-H310)/F310*I310))</f>
        <v/>
      </c>
      <c r="L310" s="6" t="str">
        <f aca="false">IF(OR(K310="",J310="",J310=0),"",K310/J310)</f>
        <v/>
      </c>
      <c r="M310" s="3"/>
      <c r="N310" s="3"/>
      <c r="O310" s="3"/>
    </row>
    <row r="311" customFormat="false" ht="15" hidden="false" customHeight="false" outlineLevel="0" collapsed="false">
      <c r="A311" s="2"/>
      <c r="B311" s="3"/>
      <c r="C311" s="3"/>
      <c r="D311" s="3"/>
      <c r="E311" s="3"/>
      <c r="F311" s="4"/>
      <c r="G311" s="4"/>
      <c r="H311" s="4"/>
      <c r="I311" s="4"/>
      <c r="J311" s="4"/>
      <c r="K311" s="5" t="str">
        <f aca="false">IF(OR(F311="",H311="",I311=""),"",IF(D311="Long",(H311-F311)/F311*I311,(F311-H311)/F311*I311))</f>
        <v/>
      </c>
      <c r="L311" s="6" t="str">
        <f aca="false">IF(OR(K311="",J311="",J311=0),"",K311/J311)</f>
        <v/>
      </c>
      <c r="M311" s="3"/>
      <c r="N311" s="3"/>
      <c r="O311" s="3"/>
    </row>
    <row r="312" customFormat="false" ht="15" hidden="false" customHeight="false" outlineLevel="0" collapsed="false">
      <c r="A312" s="2"/>
      <c r="B312" s="3"/>
      <c r="C312" s="3"/>
      <c r="D312" s="3"/>
      <c r="E312" s="3"/>
      <c r="F312" s="4"/>
      <c r="G312" s="4"/>
      <c r="H312" s="4"/>
      <c r="I312" s="4"/>
      <c r="J312" s="4"/>
      <c r="K312" s="5" t="str">
        <f aca="false">IF(OR(F312="",H312="",I312=""),"",IF(D312="Long",(H312-F312)/F312*I312,(F312-H312)/F312*I312))</f>
        <v/>
      </c>
      <c r="L312" s="6" t="str">
        <f aca="false">IF(OR(K312="",J312="",J312=0),"",K312/J312)</f>
        <v/>
      </c>
      <c r="M312" s="3"/>
      <c r="N312" s="3"/>
      <c r="O312" s="3"/>
    </row>
    <row r="313" customFormat="false" ht="15" hidden="false" customHeight="false" outlineLevel="0" collapsed="false">
      <c r="A313" s="2"/>
      <c r="B313" s="3"/>
      <c r="C313" s="3"/>
      <c r="D313" s="3"/>
      <c r="E313" s="3"/>
      <c r="F313" s="4"/>
      <c r="G313" s="4"/>
      <c r="H313" s="4"/>
      <c r="I313" s="4"/>
      <c r="J313" s="4"/>
      <c r="K313" s="5" t="str">
        <f aca="false">IF(OR(F313="",H313="",I313=""),"",IF(D313="Long",(H313-F313)/F313*I313,(F313-H313)/F313*I313))</f>
        <v/>
      </c>
      <c r="L313" s="6" t="str">
        <f aca="false">IF(OR(K313="",J313="",J313=0),"",K313/J313)</f>
        <v/>
      </c>
      <c r="M313" s="3"/>
      <c r="N313" s="3"/>
      <c r="O313" s="3"/>
    </row>
    <row r="314" customFormat="false" ht="15" hidden="false" customHeight="false" outlineLevel="0" collapsed="false">
      <c r="A314" s="2"/>
      <c r="B314" s="3"/>
      <c r="C314" s="3"/>
      <c r="D314" s="3"/>
      <c r="E314" s="3"/>
      <c r="F314" s="4"/>
      <c r="G314" s="4"/>
      <c r="H314" s="4"/>
      <c r="I314" s="4"/>
      <c r="J314" s="4"/>
      <c r="K314" s="5" t="str">
        <f aca="false">IF(OR(F314="",H314="",I314=""),"",IF(D314="Long",(H314-F314)/F314*I314,(F314-H314)/F314*I314))</f>
        <v/>
      </c>
      <c r="L314" s="6" t="str">
        <f aca="false">IF(OR(K314="",J314="",J314=0),"",K314/J314)</f>
        <v/>
      </c>
      <c r="M314" s="3"/>
      <c r="N314" s="3"/>
      <c r="O314" s="3"/>
    </row>
    <row r="315" customFormat="false" ht="15" hidden="false" customHeight="false" outlineLevel="0" collapsed="false">
      <c r="A315" s="2"/>
      <c r="B315" s="3"/>
      <c r="C315" s="3"/>
      <c r="D315" s="3"/>
      <c r="E315" s="3"/>
      <c r="F315" s="4"/>
      <c r="G315" s="4"/>
      <c r="H315" s="4"/>
      <c r="I315" s="4"/>
      <c r="J315" s="4"/>
      <c r="K315" s="5" t="str">
        <f aca="false">IF(OR(F315="",H315="",I315=""),"",IF(D315="Long",(H315-F315)/F315*I315,(F315-H315)/F315*I315))</f>
        <v/>
      </c>
      <c r="L315" s="6" t="str">
        <f aca="false">IF(OR(K315="",J315="",J315=0),"",K315/J315)</f>
        <v/>
      </c>
      <c r="M315" s="3"/>
      <c r="N315" s="3"/>
      <c r="O315" s="3"/>
    </row>
    <row r="316" customFormat="false" ht="15" hidden="false" customHeight="false" outlineLevel="0" collapsed="false">
      <c r="A316" s="2"/>
      <c r="B316" s="3"/>
      <c r="C316" s="3"/>
      <c r="D316" s="3"/>
      <c r="E316" s="3"/>
      <c r="F316" s="4"/>
      <c r="G316" s="4"/>
      <c r="H316" s="4"/>
      <c r="I316" s="4"/>
      <c r="J316" s="4"/>
      <c r="K316" s="5" t="str">
        <f aca="false">IF(OR(F316="",H316="",I316=""),"",IF(D316="Long",(H316-F316)/F316*I316,(F316-H316)/F316*I316))</f>
        <v/>
      </c>
      <c r="L316" s="6" t="str">
        <f aca="false">IF(OR(K316="",J316="",J316=0),"",K316/J316)</f>
        <v/>
      </c>
      <c r="M316" s="3"/>
      <c r="N316" s="3"/>
      <c r="O316" s="3"/>
    </row>
    <row r="317" customFormat="false" ht="15" hidden="false" customHeight="false" outlineLevel="0" collapsed="false">
      <c r="A317" s="2"/>
      <c r="B317" s="3"/>
      <c r="C317" s="3"/>
      <c r="D317" s="3"/>
      <c r="E317" s="3"/>
      <c r="F317" s="4"/>
      <c r="G317" s="4"/>
      <c r="H317" s="4"/>
      <c r="I317" s="4"/>
      <c r="J317" s="4"/>
      <c r="K317" s="5" t="str">
        <f aca="false">IF(OR(F317="",H317="",I317=""),"",IF(D317="Long",(H317-F317)/F317*I317,(F317-H317)/F317*I317))</f>
        <v/>
      </c>
      <c r="L317" s="6" t="str">
        <f aca="false">IF(OR(K317="",J317="",J317=0),"",K317/J317)</f>
        <v/>
      </c>
      <c r="M317" s="3"/>
      <c r="N317" s="3"/>
      <c r="O317" s="3"/>
    </row>
    <row r="318" customFormat="false" ht="15" hidden="false" customHeight="false" outlineLevel="0" collapsed="false">
      <c r="A318" s="2"/>
      <c r="B318" s="3"/>
      <c r="C318" s="3"/>
      <c r="D318" s="3"/>
      <c r="E318" s="3"/>
      <c r="F318" s="4"/>
      <c r="G318" s="4"/>
      <c r="H318" s="4"/>
      <c r="I318" s="4"/>
      <c r="J318" s="4"/>
      <c r="K318" s="5" t="str">
        <f aca="false">IF(OR(F318="",H318="",I318=""),"",IF(D318="Long",(H318-F318)/F318*I318,(F318-H318)/F318*I318))</f>
        <v/>
      </c>
      <c r="L318" s="6" t="str">
        <f aca="false">IF(OR(K318="",J318="",J318=0),"",K318/J318)</f>
        <v/>
      </c>
      <c r="M318" s="3"/>
      <c r="N318" s="3"/>
      <c r="O318" s="3"/>
    </row>
    <row r="319" customFormat="false" ht="15" hidden="false" customHeight="false" outlineLevel="0" collapsed="false">
      <c r="A319" s="2"/>
      <c r="B319" s="3"/>
      <c r="C319" s="3"/>
      <c r="D319" s="3"/>
      <c r="E319" s="3"/>
      <c r="F319" s="4"/>
      <c r="G319" s="4"/>
      <c r="H319" s="4"/>
      <c r="I319" s="4"/>
      <c r="J319" s="4"/>
      <c r="K319" s="5" t="str">
        <f aca="false">IF(OR(F319="",H319="",I319=""),"",IF(D319="Long",(H319-F319)/F319*I319,(F319-H319)/F319*I319))</f>
        <v/>
      </c>
      <c r="L319" s="6" t="str">
        <f aca="false">IF(OR(K319="",J319="",J319=0),"",K319/J319)</f>
        <v/>
      </c>
      <c r="M319" s="3"/>
      <c r="N319" s="3"/>
      <c r="O319" s="3"/>
    </row>
    <row r="320" customFormat="false" ht="15" hidden="false" customHeight="false" outlineLevel="0" collapsed="false">
      <c r="A320" s="2"/>
      <c r="B320" s="3"/>
      <c r="C320" s="3"/>
      <c r="D320" s="3"/>
      <c r="E320" s="3"/>
      <c r="F320" s="4"/>
      <c r="G320" s="4"/>
      <c r="H320" s="4"/>
      <c r="I320" s="4"/>
      <c r="J320" s="4"/>
      <c r="K320" s="5" t="str">
        <f aca="false">IF(OR(F320="",H320="",I320=""),"",IF(D320="Long",(H320-F320)/F320*I320,(F320-H320)/F320*I320))</f>
        <v/>
      </c>
      <c r="L320" s="6" t="str">
        <f aca="false">IF(OR(K320="",J320="",J320=0),"",K320/J320)</f>
        <v/>
      </c>
      <c r="M320" s="3"/>
      <c r="N320" s="3"/>
      <c r="O320" s="3"/>
    </row>
    <row r="321" customFormat="false" ht="15" hidden="false" customHeight="false" outlineLevel="0" collapsed="false">
      <c r="A321" s="2"/>
      <c r="B321" s="3"/>
      <c r="C321" s="3"/>
      <c r="D321" s="3"/>
      <c r="E321" s="3"/>
      <c r="F321" s="4"/>
      <c r="G321" s="4"/>
      <c r="H321" s="4"/>
      <c r="I321" s="4"/>
      <c r="J321" s="4"/>
      <c r="K321" s="5" t="str">
        <f aca="false">IF(OR(F321="",H321="",I321=""),"",IF(D321="Long",(H321-F321)/F321*I321,(F321-H321)/F321*I321))</f>
        <v/>
      </c>
      <c r="L321" s="6" t="str">
        <f aca="false">IF(OR(K321="",J321="",J321=0),"",K321/J321)</f>
        <v/>
      </c>
      <c r="M321" s="3"/>
      <c r="N321" s="3"/>
      <c r="O321" s="3"/>
    </row>
    <row r="322" customFormat="false" ht="15" hidden="false" customHeight="false" outlineLevel="0" collapsed="false">
      <c r="A322" s="2"/>
      <c r="B322" s="3"/>
      <c r="C322" s="3"/>
      <c r="D322" s="3"/>
      <c r="E322" s="3"/>
      <c r="F322" s="4"/>
      <c r="G322" s="4"/>
      <c r="H322" s="4"/>
      <c r="I322" s="4"/>
      <c r="J322" s="4"/>
      <c r="K322" s="5" t="str">
        <f aca="false">IF(OR(F322="",H322="",I322=""),"",IF(D322="Long",(H322-F322)/F322*I322,(F322-H322)/F322*I322))</f>
        <v/>
      </c>
      <c r="L322" s="6" t="str">
        <f aca="false">IF(OR(K322="",J322="",J322=0),"",K322/J322)</f>
        <v/>
      </c>
      <c r="M322" s="3"/>
      <c r="N322" s="3"/>
      <c r="O322" s="3"/>
    </row>
    <row r="323" customFormat="false" ht="15" hidden="false" customHeight="false" outlineLevel="0" collapsed="false">
      <c r="A323" s="2"/>
      <c r="B323" s="3"/>
      <c r="C323" s="3"/>
      <c r="D323" s="3"/>
      <c r="E323" s="3"/>
      <c r="F323" s="4"/>
      <c r="G323" s="4"/>
      <c r="H323" s="4"/>
      <c r="I323" s="4"/>
      <c r="J323" s="4"/>
      <c r="K323" s="5" t="str">
        <f aca="false">IF(OR(F323="",H323="",I323=""),"",IF(D323="Long",(H323-F323)/F323*I323,(F323-H323)/F323*I323))</f>
        <v/>
      </c>
      <c r="L323" s="6" t="str">
        <f aca="false">IF(OR(K323="",J323="",J323=0),"",K323/J323)</f>
        <v/>
      </c>
      <c r="M323" s="3"/>
      <c r="N323" s="3"/>
      <c r="O323" s="3"/>
    </row>
    <row r="324" customFormat="false" ht="15" hidden="false" customHeight="false" outlineLevel="0" collapsed="false">
      <c r="A324" s="2"/>
      <c r="B324" s="3"/>
      <c r="C324" s="3"/>
      <c r="D324" s="3"/>
      <c r="E324" s="3"/>
      <c r="F324" s="4"/>
      <c r="G324" s="4"/>
      <c r="H324" s="4"/>
      <c r="I324" s="4"/>
      <c r="J324" s="4"/>
      <c r="K324" s="5" t="str">
        <f aca="false">IF(OR(F324="",H324="",I324=""),"",IF(D324="Long",(H324-F324)/F324*I324,(F324-H324)/F324*I324))</f>
        <v/>
      </c>
      <c r="L324" s="6" t="str">
        <f aca="false">IF(OR(K324="",J324="",J324=0),"",K324/J324)</f>
        <v/>
      </c>
      <c r="M324" s="3"/>
      <c r="N324" s="3"/>
      <c r="O324" s="3"/>
    </row>
    <row r="325" customFormat="false" ht="15" hidden="false" customHeight="false" outlineLevel="0" collapsed="false">
      <c r="A325" s="2"/>
      <c r="B325" s="3"/>
      <c r="C325" s="3"/>
      <c r="D325" s="3"/>
      <c r="E325" s="3"/>
      <c r="F325" s="4"/>
      <c r="G325" s="4"/>
      <c r="H325" s="4"/>
      <c r="I325" s="4"/>
      <c r="J325" s="4"/>
      <c r="K325" s="5" t="str">
        <f aca="false">IF(OR(F325="",H325="",I325=""),"",IF(D325="Long",(H325-F325)/F325*I325,(F325-H325)/F325*I325))</f>
        <v/>
      </c>
      <c r="L325" s="6" t="str">
        <f aca="false">IF(OR(K325="",J325="",J325=0),"",K325/J325)</f>
        <v/>
      </c>
      <c r="M325" s="3"/>
      <c r="N325" s="3"/>
      <c r="O325" s="3"/>
    </row>
    <row r="326" customFormat="false" ht="15" hidden="false" customHeight="false" outlineLevel="0" collapsed="false">
      <c r="A326" s="2"/>
      <c r="B326" s="3"/>
      <c r="C326" s="3"/>
      <c r="D326" s="3"/>
      <c r="E326" s="3"/>
      <c r="F326" s="4"/>
      <c r="G326" s="4"/>
      <c r="H326" s="4"/>
      <c r="I326" s="4"/>
      <c r="J326" s="4"/>
      <c r="K326" s="5" t="str">
        <f aca="false">IF(OR(F326="",H326="",I326=""),"",IF(D326="Long",(H326-F326)/F326*I326,(F326-H326)/F326*I326))</f>
        <v/>
      </c>
      <c r="L326" s="6" t="str">
        <f aca="false">IF(OR(K326="",J326="",J326=0),"",K326/J326)</f>
        <v/>
      </c>
      <c r="M326" s="3"/>
      <c r="N326" s="3"/>
      <c r="O326" s="3"/>
    </row>
    <row r="327" customFormat="false" ht="15" hidden="false" customHeight="false" outlineLevel="0" collapsed="false">
      <c r="A327" s="2"/>
      <c r="B327" s="3"/>
      <c r="C327" s="3"/>
      <c r="D327" s="3"/>
      <c r="E327" s="3"/>
      <c r="F327" s="4"/>
      <c r="G327" s="4"/>
      <c r="H327" s="4"/>
      <c r="I327" s="4"/>
      <c r="J327" s="4"/>
      <c r="K327" s="5" t="str">
        <f aca="false">IF(OR(F327="",H327="",I327=""),"",IF(D327="Long",(H327-F327)/F327*I327,(F327-H327)/F327*I327))</f>
        <v/>
      </c>
      <c r="L327" s="6" t="str">
        <f aca="false">IF(OR(K327="",J327="",J327=0),"",K327/J327)</f>
        <v/>
      </c>
      <c r="M327" s="3"/>
      <c r="N327" s="3"/>
      <c r="O327" s="3"/>
    </row>
    <row r="328" customFormat="false" ht="15" hidden="false" customHeight="false" outlineLevel="0" collapsed="false">
      <c r="A328" s="2"/>
      <c r="B328" s="3"/>
      <c r="C328" s="3"/>
      <c r="D328" s="3"/>
      <c r="E328" s="3"/>
      <c r="F328" s="4"/>
      <c r="G328" s="4"/>
      <c r="H328" s="4"/>
      <c r="I328" s="4"/>
      <c r="J328" s="4"/>
      <c r="K328" s="5" t="str">
        <f aca="false">IF(OR(F328="",H328="",I328=""),"",IF(D328="Long",(H328-F328)/F328*I328,(F328-H328)/F328*I328))</f>
        <v/>
      </c>
      <c r="L328" s="6" t="str">
        <f aca="false">IF(OR(K328="",J328="",J328=0),"",K328/J328)</f>
        <v/>
      </c>
      <c r="M328" s="3"/>
      <c r="N328" s="3"/>
      <c r="O328" s="3"/>
    </row>
    <row r="329" customFormat="false" ht="15" hidden="false" customHeight="false" outlineLevel="0" collapsed="false">
      <c r="A329" s="2"/>
      <c r="B329" s="3"/>
      <c r="C329" s="3"/>
      <c r="D329" s="3"/>
      <c r="E329" s="3"/>
      <c r="F329" s="4"/>
      <c r="G329" s="4"/>
      <c r="H329" s="4"/>
      <c r="I329" s="4"/>
      <c r="J329" s="4"/>
      <c r="K329" s="5" t="str">
        <f aca="false">IF(OR(F329="",H329="",I329=""),"",IF(D329="Long",(H329-F329)/F329*I329,(F329-H329)/F329*I329))</f>
        <v/>
      </c>
      <c r="L329" s="6" t="str">
        <f aca="false">IF(OR(K329="",J329="",J329=0),"",K329/J329)</f>
        <v/>
      </c>
      <c r="M329" s="3"/>
      <c r="N329" s="3"/>
      <c r="O329" s="3"/>
    </row>
    <row r="330" customFormat="false" ht="15" hidden="false" customHeight="false" outlineLevel="0" collapsed="false">
      <c r="A330" s="2"/>
      <c r="B330" s="3"/>
      <c r="C330" s="3"/>
      <c r="D330" s="3"/>
      <c r="E330" s="3"/>
      <c r="F330" s="4"/>
      <c r="G330" s="4"/>
      <c r="H330" s="4"/>
      <c r="I330" s="4"/>
      <c r="J330" s="4"/>
      <c r="K330" s="5" t="str">
        <f aca="false">IF(OR(F330="",H330="",I330=""),"",IF(D330="Long",(H330-F330)/F330*I330,(F330-H330)/F330*I330))</f>
        <v/>
      </c>
      <c r="L330" s="6" t="str">
        <f aca="false">IF(OR(K330="",J330="",J330=0),"",K330/J330)</f>
        <v/>
      </c>
      <c r="M330" s="3"/>
      <c r="N330" s="3"/>
      <c r="O330" s="3"/>
    </row>
    <row r="331" customFormat="false" ht="15" hidden="false" customHeight="false" outlineLevel="0" collapsed="false">
      <c r="A331" s="2"/>
      <c r="B331" s="3"/>
      <c r="C331" s="3"/>
      <c r="D331" s="3"/>
      <c r="E331" s="3"/>
      <c r="F331" s="4"/>
      <c r="G331" s="4"/>
      <c r="H331" s="4"/>
      <c r="I331" s="4"/>
      <c r="J331" s="4"/>
      <c r="K331" s="5" t="str">
        <f aca="false">IF(OR(F331="",H331="",I331=""),"",IF(D331="Long",(H331-F331)/F331*I331,(F331-H331)/F331*I331))</f>
        <v/>
      </c>
      <c r="L331" s="6" t="str">
        <f aca="false">IF(OR(K331="",J331="",J331=0),"",K331/J331)</f>
        <v/>
      </c>
      <c r="M331" s="3"/>
      <c r="N331" s="3"/>
      <c r="O331" s="3"/>
    </row>
    <row r="332" customFormat="false" ht="15" hidden="false" customHeight="false" outlineLevel="0" collapsed="false">
      <c r="A332" s="2"/>
      <c r="B332" s="3"/>
      <c r="C332" s="3"/>
      <c r="D332" s="3"/>
      <c r="E332" s="3"/>
      <c r="F332" s="4"/>
      <c r="G332" s="4"/>
      <c r="H332" s="4"/>
      <c r="I332" s="4"/>
      <c r="J332" s="4"/>
      <c r="K332" s="5" t="str">
        <f aca="false">IF(OR(F332="",H332="",I332=""),"",IF(D332="Long",(H332-F332)/F332*I332,(F332-H332)/F332*I332))</f>
        <v/>
      </c>
      <c r="L332" s="6" t="str">
        <f aca="false">IF(OR(K332="",J332="",J332=0),"",K332/J332)</f>
        <v/>
      </c>
      <c r="M332" s="3"/>
      <c r="N332" s="3"/>
      <c r="O332" s="3"/>
    </row>
    <row r="333" customFormat="false" ht="15" hidden="false" customHeight="false" outlineLevel="0" collapsed="false">
      <c r="A333" s="2"/>
      <c r="B333" s="3"/>
      <c r="C333" s="3"/>
      <c r="D333" s="3"/>
      <c r="E333" s="3"/>
      <c r="F333" s="4"/>
      <c r="G333" s="4"/>
      <c r="H333" s="4"/>
      <c r="I333" s="4"/>
      <c r="J333" s="4"/>
      <c r="K333" s="5" t="str">
        <f aca="false">IF(OR(F333="",H333="",I333=""),"",IF(D333="Long",(H333-F333)/F333*I333,(F333-H333)/F333*I333))</f>
        <v/>
      </c>
      <c r="L333" s="6" t="str">
        <f aca="false">IF(OR(K333="",J333="",J333=0),"",K333/J333)</f>
        <v/>
      </c>
      <c r="M333" s="3"/>
      <c r="N333" s="3"/>
      <c r="O333" s="3"/>
    </row>
    <row r="334" customFormat="false" ht="15" hidden="false" customHeight="false" outlineLevel="0" collapsed="false">
      <c r="A334" s="2"/>
      <c r="B334" s="3"/>
      <c r="C334" s="3"/>
      <c r="D334" s="3"/>
      <c r="E334" s="3"/>
      <c r="F334" s="4"/>
      <c r="G334" s="4"/>
      <c r="H334" s="4"/>
      <c r="I334" s="4"/>
      <c r="J334" s="4"/>
      <c r="K334" s="5" t="str">
        <f aca="false">IF(OR(F334="",H334="",I334=""),"",IF(D334="Long",(H334-F334)/F334*I334,(F334-H334)/F334*I334))</f>
        <v/>
      </c>
      <c r="L334" s="6" t="str">
        <f aca="false">IF(OR(K334="",J334="",J334=0),"",K334/J334)</f>
        <v/>
      </c>
      <c r="M334" s="3"/>
      <c r="N334" s="3"/>
      <c r="O334" s="3"/>
    </row>
    <row r="335" customFormat="false" ht="15" hidden="false" customHeight="false" outlineLevel="0" collapsed="false">
      <c r="A335" s="2"/>
      <c r="B335" s="3"/>
      <c r="C335" s="3"/>
      <c r="D335" s="3"/>
      <c r="E335" s="3"/>
      <c r="F335" s="4"/>
      <c r="G335" s="4"/>
      <c r="H335" s="4"/>
      <c r="I335" s="4"/>
      <c r="J335" s="4"/>
      <c r="K335" s="5" t="str">
        <f aca="false">IF(OR(F335="",H335="",I335=""),"",IF(D335="Long",(H335-F335)/F335*I335,(F335-H335)/F335*I335))</f>
        <v/>
      </c>
      <c r="L335" s="6" t="str">
        <f aca="false">IF(OR(K335="",J335="",J335=0),"",K335/J335)</f>
        <v/>
      </c>
      <c r="M335" s="3"/>
      <c r="N335" s="3"/>
      <c r="O335" s="3"/>
    </row>
    <row r="336" customFormat="false" ht="15" hidden="false" customHeight="false" outlineLevel="0" collapsed="false">
      <c r="A336" s="2"/>
      <c r="B336" s="3"/>
      <c r="C336" s="3"/>
      <c r="D336" s="3"/>
      <c r="E336" s="3"/>
      <c r="F336" s="4"/>
      <c r="G336" s="4"/>
      <c r="H336" s="4"/>
      <c r="I336" s="4"/>
      <c r="J336" s="4"/>
      <c r="K336" s="5" t="str">
        <f aca="false">IF(OR(F336="",H336="",I336=""),"",IF(D336="Long",(H336-F336)/F336*I336,(F336-H336)/F336*I336))</f>
        <v/>
      </c>
      <c r="L336" s="6" t="str">
        <f aca="false">IF(OR(K336="",J336="",J336=0),"",K336/J336)</f>
        <v/>
      </c>
      <c r="M336" s="3"/>
      <c r="N336" s="3"/>
      <c r="O336" s="3"/>
    </row>
    <row r="337" customFormat="false" ht="15" hidden="false" customHeight="false" outlineLevel="0" collapsed="false">
      <c r="A337" s="2"/>
      <c r="B337" s="3"/>
      <c r="C337" s="3"/>
      <c r="D337" s="3"/>
      <c r="E337" s="3"/>
      <c r="F337" s="4"/>
      <c r="G337" s="4"/>
      <c r="H337" s="4"/>
      <c r="I337" s="4"/>
      <c r="J337" s="4"/>
      <c r="K337" s="5" t="str">
        <f aca="false">IF(OR(F337="",H337="",I337=""),"",IF(D337="Long",(H337-F337)/F337*I337,(F337-H337)/F337*I337))</f>
        <v/>
      </c>
      <c r="L337" s="6" t="str">
        <f aca="false">IF(OR(K337="",J337="",J337=0),"",K337/J337)</f>
        <v/>
      </c>
      <c r="M337" s="3"/>
      <c r="N337" s="3"/>
      <c r="O337" s="3"/>
    </row>
    <row r="338" customFormat="false" ht="15" hidden="false" customHeight="false" outlineLevel="0" collapsed="false">
      <c r="A338" s="2"/>
      <c r="B338" s="3"/>
      <c r="C338" s="3"/>
      <c r="D338" s="3"/>
      <c r="E338" s="3"/>
      <c r="F338" s="4"/>
      <c r="G338" s="4"/>
      <c r="H338" s="4"/>
      <c r="I338" s="4"/>
      <c r="J338" s="4"/>
      <c r="K338" s="5" t="str">
        <f aca="false">IF(OR(F338="",H338="",I338=""),"",IF(D338="Long",(H338-F338)/F338*I338,(F338-H338)/F338*I338))</f>
        <v/>
      </c>
      <c r="L338" s="6" t="str">
        <f aca="false">IF(OR(K338="",J338="",J338=0),"",K338/J338)</f>
        <v/>
      </c>
      <c r="M338" s="3"/>
      <c r="N338" s="3"/>
      <c r="O338" s="3"/>
    </row>
    <row r="339" customFormat="false" ht="15" hidden="false" customHeight="false" outlineLevel="0" collapsed="false">
      <c r="A339" s="2"/>
      <c r="B339" s="3"/>
      <c r="C339" s="3"/>
      <c r="D339" s="3"/>
      <c r="E339" s="3"/>
      <c r="F339" s="4"/>
      <c r="G339" s="4"/>
      <c r="H339" s="4"/>
      <c r="I339" s="4"/>
      <c r="J339" s="4"/>
      <c r="K339" s="5" t="str">
        <f aca="false">IF(OR(F339="",H339="",I339=""),"",IF(D339="Long",(H339-F339)/F339*I339,(F339-H339)/F339*I339))</f>
        <v/>
      </c>
      <c r="L339" s="6" t="str">
        <f aca="false">IF(OR(K339="",J339="",J339=0),"",K339/J339)</f>
        <v/>
      </c>
      <c r="M339" s="3"/>
      <c r="N339" s="3"/>
      <c r="O339" s="3"/>
    </row>
    <row r="340" customFormat="false" ht="15" hidden="false" customHeight="false" outlineLevel="0" collapsed="false">
      <c r="A340" s="2"/>
      <c r="B340" s="3"/>
      <c r="C340" s="3"/>
      <c r="D340" s="3"/>
      <c r="E340" s="3"/>
      <c r="F340" s="4"/>
      <c r="G340" s="4"/>
      <c r="H340" s="4"/>
      <c r="I340" s="4"/>
      <c r="J340" s="4"/>
      <c r="K340" s="5" t="str">
        <f aca="false">IF(OR(F340="",H340="",I340=""),"",IF(D340="Long",(H340-F340)/F340*I340,(F340-H340)/F340*I340))</f>
        <v/>
      </c>
      <c r="L340" s="6" t="str">
        <f aca="false">IF(OR(K340="",J340="",J340=0),"",K340/J340)</f>
        <v/>
      </c>
      <c r="M340" s="3"/>
      <c r="N340" s="3"/>
      <c r="O340" s="3"/>
    </row>
    <row r="341" customFormat="false" ht="15" hidden="false" customHeight="false" outlineLevel="0" collapsed="false">
      <c r="A341" s="2"/>
      <c r="B341" s="3"/>
      <c r="C341" s="3"/>
      <c r="D341" s="3"/>
      <c r="E341" s="3"/>
      <c r="F341" s="4"/>
      <c r="G341" s="4"/>
      <c r="H341" s="4"/>
      <c r="I341" s="4"/>
      <c r="J341" s="4"/>
      <c r="K341" s="5" t="str">
        <f aca="false">IF(OR(F341="",H341="",I341=""),"",IF(D341="Long",(H341-F341)/F341*I341,(F341-H341)/F341*I341))</f>
        <v/>
      </c>
      <c r="L341" s="6" t="str">
        <f aca="false">IF(OR(K341="",J341="",J341=0),"",K341/J341)</f>
        <v/>
      </c>
      <c r="M341" s="3"/>
      <c r="N341" s="3"/>
      <c r="O341" s="3"/>
    </row>
    <row r="342" customFormat="false" ht="15" hidden="false" customHeight="false" outlineLevel="0" collapsed="false">
      <c r="A342" s="2"/>
      <c r="B342" s="3"/>
      <c r="C342" s="3"/>
      <c r="D342" s="3"/>
      <c r="E342" s="3"/>
      <c r="F342" s="4"/>
      <c r="G342" s="4"/>
      <c r="H342" s="4"/>
      <c r="I342" s="4"/>
      <c r="J342" s="4"/>
      <c r="K342" s="5" t="str">
        <f aca="false">IF(OR(F342="",H342="",I342=""),"",IF(D342="Long",(H342-F342)/F342*I342,(F342-H342)/F342*I342))</f>
        <v/>
      </c>
      <c r="L342" s="6" t="str">
        <f aca="false">IF(OR(K342="",J342="",J342=0),"",K342/J342)</f>
        <v/>
      </c>
      <c r="M342" s="3"/>
      <c r="N342" s="3"/>
      <c r="O342" s="3"/>
    </row>
    <row r="343" customFormat="false" ht="15" hidden="false" customHeight="false" outlineLevel="0" collapsed="false">
      <c r="A343" s="2"/>
      <c r="B343" s="3"/>
      <c r="C343" s="3"/>
      <c r="D343" s="3"/>
      <c r="E343" s="3"/>
      <c r="F343" s="4"/>
      <c r="G343" s="4"/>
      <c r="H343" s="4"/>
      <c r="I343" s="4"/>
      <c r="J343" s="4"/>
      <c r="K343" s="5" t="str">
        <f aca="false">IF(OR(F343="",H343="",I343=""),"",IF(D343="Long",(H343-F343)/F343*I343,(F343-H343)/F343*I343))</f>
        <v/>
      </c>
      <c r="L343" s="6" t="str">
        <f aca="false">IF(OR(K343="",J343="",J343=0),"",K343/J343)</f>
        <v/>
      </c>
      <c r="M343" s="3"/>
      <c r="N343" s="3"/>
      <c r="O343" s="3"/>
    </row>
    <row r="344" customFormat="false" ht="15" hidden="false" customHeight="false" outlineLevel="0" collapsed="false">
      <c r="A344" s="2"/>
      <c r="B344" s="3"/>
      <c r="C344" s="3"/>
      <c r="D344" s="3"/>
      <c r="E344" s="3"/>
      <c r="F344" s="4"/>
      <c r="G344" s="4"/>
      <c r="H344" s="4"/>
      <c r="I344" s="4"/>
      <c r="J344" s="4"/>
      <c r="K344" s="5" t="str">
        <f aca="false">IF(OR(F344="",H344="",I344=""),"",IF(D344="Long",(H344-F344)/F344*I344,(F344-H344)/F344*I344))</f>
        <v/>
      </c>
      <c r="L344" s="6" t="str">
        <f aca="false">IF(OR(K344="",J344="",J344=0),"",K344/J344)</f>
        <v/>
      </c>
      <c r="M344" s="3"/>
      <c r="N344" s="3"/>
      <c r="O344" s="3"/>
    </row>
    <row r="345" customFormat="false" ht="15" hidden="false" customHeight="false" outlineLevel="0" collapsed="false">
      <c r="A345" s="2"/>
      <c r="B345" s="3"/>
      <c r="C345" s="3"/>
      <c r="D345" s="3"/>
      <c r="E345" s="3"/>
      <c r="F345" s="4"/>
      <c r="G345" s="4"/>
      <c r="H345" s="4"/>
      <c r="I345" s="4"/>
      <c r="J345" s="4"/>
      <c r="K345" s="5" t="str">
        <f aca="false">IF(OR(F345="",H345="",I345=""),"",IF(D345="Long",(H345-F345)/F345*I345,(F345-H345)/F345*I345))</f>
        <v/>
      </c>
      <c r="L345" s="6" t="str">
        <f aca="false">IF(OR(K345="",J345="",J345=0),"",K345/J345)</f>
        <v/>
      </c>
      <c r="M345" s="3"/>
      <c r="N345" s="3"/>
      <c r="O345" s="3"/>
    </row>
    <row r="346" customFormat="false" ht="15" hidden="false" customHeight="false" outlineLevel="0" collapsed="false">
      <c r="A346" s="2"/>
      <c r="B346" s="3"/>
      <c r="C346" s="3"/>
      <c r="D346" s="3"/>
      <c r="E346" s="3"/>
      <c r="F346" s="4"/>
      <c r="G346" s="4"/>
      <c r="H346" s="4"/>
      <c r="I346" s="4"/>
      <c r="J346" s="4"/>
      <c r="K346" s="5" t="str">
        <f aca="false">IF(OR(F346="",H346="",I346=""),"",IF(D346="Long",(H346-F346)/F346*I346,(F346-H346)/F346*I346))</f>
        <v/>
      </c>
      <c r="L346" s="6" t="str">
        <f aca="false">IF(OR(K346="",J346="",J346=0),"",K346/J346)</f>
        <v/>
      </c>
      <c r="M346" s="3"/>
      <c r="N346" s="3"/>
      <c r="O346" s="3"/>
    </row>
    <row r="347" customFormat="false" ht="15" hidden="false" customHeight="false" outlineLevel="0" collapsed="false">
      <c r="A347" s="2"/>
      <c r="B347" s="3"/>
      <c r="C347" s="3"/>
      <c r="D347" s="3"/>
      <c r="E347" s="3"/>
      <c r="F347" s="4"/>
      <c r="G347" s="4"/>
      <c r="H347" s="4"/>
      <c r="I347" s="4"/>
      <c r="J347" s="4"/>
      <c r="K347" s="5" t="str">
        <f aca="false">IF(OR(F347="",H347="",I347=""),"",IF(D347="Long",(H347-F347)/F347*I347,(F347-H347)/F347*I347))</f>
        <v/>
      </c>
      <c r="L347" s="6" t="str">
        <f aca="false">IF(OR(K347="",J347="",J347=0),"",K347/J347)</f>
        <v/>
      </c>
      <c r="M347" s="3"/>
      <c r="N347" s="3"/>
      <c r="O347" s="3"/>
    </row>
    <row r="348" customFormat="false" ht="15" hidden="false" customHeight="false" outlineLevel="0" collapsed="false">
      <c r="A348" s="2"/>
      <c r="B348" s="3"/>
      <c r="C348" s="3"/>
      <c r="D348" s="3"/>
      <c r="E348" s="3"/>
      <c r="F348" s="4"/>
      <c r="G348" s="4"/>
      <c r="H348" s="4"/>
      <c r="I348" s="4"/>
      <c r="J348" s="4"/>
      <c r="K348" s="5" t="str">
        <f aca="false">IF(OR(F348="",H348="",I348=""),"",IF(D348="Long",(H348-F348)/F348*I348,(F348-H348)/F348*I348))</f>
        <v/>
      </c>
      <c r="L348" s="6" t="str">
        <f aca="false">IF(OR(K348="",J348="",J348=0),"",K348/J348)</f>
        <v/>
      </c>
      <c r="M348" s="3"/>
      <c r="N348" s="3"/>
      <c r="O348" s="3"/>
    </row>
    <row r="349" customFormat="false" ht="15" hidden="false" customHeight="false" outlineLevel="0" collapsed="false">
      <c r="A349" s="2"/>
      <c r="B349" s="3"/>
      <c r="C349" s="3"/>
      <c r="D349" s="3"/>
      <c r="E349" s="3"/>
      <c r="F349" s="4"/>
      <c r="G349" s="4"/>
      <c r="H349" s="4"/>
      <c r="I349" s="4"/>
      <c r="J349" s="4"/>
      <c r="K349" s="5" t="str">
        <f aca="false">IF(OR(F349="",H349="",I349=""),"",IF(D349="Long",(H349-F349)/F349*I349,(F349-H349)/F349*I349))</f>
        <v/>
      </c>
      <c r="L349" s="6" t="str">
        <f aca="false">IF(OR(K349="",J349="",J349=0),"",K349/J349)</f>
        <v/>
      </c>
      <c r="M349" s="3"/>
      <c r="N349" s="3"/>
      <c r="O349" s="3"/>
    </row>
    <row r="350" customFormat="false" ht="15" hidden="false" customHeight="false" outlineLevel="0" collapsed="false">
      <c r="A350" s="2"/>
      <c r="B350" s="3"/>
      <c r="C350" s="3"/>
      <c r="D350" s="3"/>
      <c r="E350" s="3"/>
      <c r="F350" s="4"/>
      <c r="G350" s="4"/>
      <c r="H350" s="4"/>
      <c r="I350" s="4"/>
      <c r="J350" s="4"/>
      <c r="K350" s="5" t="str">
        <f aca="false">IF(OR(F350="",H350="",I350=""),"",IF(D350="Long",(H350-F350)/F350*I350,(F350-H350)/F350*I350))</f>
        <v/>
      </c>
      <c r="L350" s="6" t="str">
        <f aca="false">IF(OR(K350="",J350="",J350=0),"",K350/J350)</f>
        <v/>
      </c>
      <c r="M350" s="3"/>
      <c r="N350" s="3"/>
      <c r="O350" s="3"/>
    </row>
    <row r="351" customFormat="false" ht="15" hidden="false" customHeight="false" outlineLevel="0" collapsed="false">
      <c r="A351" s="2"/>
      <c r="B351" s="3"/>
      <c r="C351" s="3"/>
      <c r="D351" s="3"/>
      <c r="E351" s="3"/>
      <c r="F351" s="4"/>
      <c r="G351" s="4"/>
      <c r="H351" s="4"/>
      <c r="I351" s="4"/>
      <c r="J351" s="4"/>
      <c r="K351" s="5" t="str">
        <f aca="false">IF(OR(F351="",H351="",I351=""),"",IF(D351="Long",(H351-F351)/F351*I351,(F351-H351)/F351*I351))</f>
        <v/>
      </c>
      <c r="L351" s="6" t="str">
        <f aca="false">IF(OR(K351="",J351="",J351=0),"",K351/J351)</f>
        <v/>
      </c>
      <c r="M351" s="3"/>
      <c r="N351" s="3"/>
      <c r="O351" s="3"/>
    </row>
    <row r="352" customFormat="false" ht="15" hidden="false" customHeight="false" outlineLevel="0" collapsed="false">
      <c r="A352" s="2"/>
      <c r="B352" s="3"/>
      <c r="C352" s="3"/>
      <c r="D352" s="3"/>
      <c r="E352" s="3"/>
      <c r="F352" s="4"/>
      <c r="G352" s="4"/>
      <c r="H352" s="4"/>
      <c r="I352" s="4"/>
      <c r="J352" s="4"/>
      <c r="K352" s="5" t="str">
        <f aca="false">IF(OR(F352="",H352="",I352=""),"",IF(D352="Long",(H352-F352)/F352*I352,(F352-H352)/F352*I352))</f>
        <v/>
      </c>
      <c r="L352" s="6" t="str">
        <f aca="false">IF(OR(K352="",J352="",J352=0),"",K352/J352)</f>
        <v/>
      </c>
      <c r="M352" s="3"/>
      <c r="N352" s="3"/>
      <c r="O352" s="3"/>
    </row>
    <row r="353" customFormat="false" ht="15" hidden="false" customHeight="false" outlineLevel="0" collapsed="false">
      <c r="A353" s="2"/>
      <c r="B353" s="3"/>
      <c r="C353" s="3"/>
      <c r="D353" s="3"/>
      <c r="E353" s="3"/>
      <c r="F353" s="4"/>
      <c r="G353" s="4"/>
      <c r="H353" s="4"/>
      <c r="I353" s="4"/>
      <c r="J353" s="4"/>
      <c r="K353" s="5" t="str">
        <f aca="false">IF(OR(F353="",H353="",I353=""),"",IF(D353="Long",(H353-F353)/F353*I353,(F353-H353)/F353*I353))</f>
        <v/>
      </c>
      <c r="L353" s="6" t="str">
        <f aca="false">IF(OR(K353="",J353="",J353=0),"",K353/J353)</f>
        <v/>
      </c>
      <c r="M353" s="3"/>
      <c r="N353" s="3"/>
      <c r="O353" s="3"/>
    </row>
    <row r="354" customFormat="false" ht="15" hidden="false" customHeight="false" outlineLevel="0" collapsed="false">
      <c r="A354" s="2"/>
      <c r="B354" s="3"/>
      <c r="C354" s="3"/>
      <c r="D354" s="3"/>
      <c r="E354" s="3"/>
      <c r="F354" s="4"/>
      <c r="G354" s="4"/>
      <c r="H354" s="4"/>
      <c r="I354" s="4"/>
      <c r="J354" s="4"/>
      <c r="K354" s="5" t="str">
        <f aca="false">IF(OR(F354="",H354="",I354=""),"",IF(D354="Long",(H354-F354)/F354*I354,(F354-H354)/F354*I354))</f>
        <v/>
      </c>
      <c r="L354" s="6" t="str">
        <f aca="false">IF(OR(K354="",J354="",J354=0),"",K354/J354)</f>
        <v/>
      </c>
      <c r="M354" s="3"/>
      <c r="N354" s="3"/>
      <c r="O354" s="3"/>
    </row>
    <row r="355" customFormat="false" ht="15" hidden="false" customHeight="false" outlineLevel="0" collapsed="false">
      <c r="A355" s="2"/>
      <c r="B355" s="3"/>
      <c r="C355" s="3"/>
      <c r="D355" s="3"/>
      <c r="E355" s="3"/>
      <c r="F355" s="4"/>
      <c r="G355" s="4"/>
      <c r="H355" s="4"/>
      <c r="I355" s="4"/>
      <c r="J355" s="4"/>
      <c r="K355" s="5" t="str">
        <f aca="false">IF(OR(F355="",H355="",I355=""),"",IF(D355="Long",(H355-F355)/F355*I355,(F355-H355)/F355*I355))</f>
        <v/>
      </c>
      <c r="L355" s="6" t="str">
        <f aca="false">IF(OR(K355="",J355="",J355=0),"",K355/J355)</f>
        <v/>
      </c>
      <c r="M355" s="3"/>
      <c r="N355" s="3"/>
      <c r="O355" s="3"/>
    </row>
    <row r="356" customFormat="false" ht="15" hidden="false" customHeight="false" outlineLevel="0" collapsed="false">
      <c r="A356" s="2"/>
      <c r="B356" s="3"/>
      <c r="C356" s="3"/>
      <c r="D356" s="3"/>
      <c r="E356" s="3"/>
      <c r="F356" s="4"/>
      <c r="G356" s="4"/>
      <c r="H356" s="4"/>
      <c r="I356" s="4"/>
      <c r="J356" s="4"/>
      <c r="K356" s="5" t="str">
        <f aca="false">IF(OR(F356="",H356="",I356=""),"",IF(D356="Long",(H356-F356)/F356*I356,(F356-H356)/F356*I356))</f>
        <v/>
      </c>
      <c r="L356" s="6" t="str">
        <f aca="false">IF(OR(K356="",J356="",J356=0),"",K356/J356)</f>
        <v/>
      </c>
      <c r="M356" s="3"/>
      <c r="N356" s="3"/>
      <c r="O356" s="3"/>
    </row>
    <row r="357" customFormat="false" ht="15" hidden="false" customHeight="false" outlineLevel="0" collapsed="false">
      <c r="A357" s="2"/>
      <c r="B357" s="3"/>
      <c r="C357" s="3"/>
      <c r="D357" s="3"/>
      <c r="E357" s="3"/>
      <c r="F357" s="4"/>
      <c r="G357" s="4"/>
      <c r="H357" s="4"/>
      <c r="I357" s="4"/>
      <c r="J357" s="4"/>
      <c r="K357" s="5" t="str">
        <f aca="false">IF(OR(F357="",H357="",I357=""),"",IF(D357="Long",(H357-F357)/F357*I357,(F357-H357)/F357*I357))</f>
        <v/>
      </c>
      <c r="L357" s="6" t="str">
        <f aca="false">IF(OR(K357="",J357="",J357=0),"",K357/J357)</f>
        <v/>
      </c>
      <c r="M357" s="3"/>
      <c r="N357" s="3"/>
      <c r="O357" s="3"/>
    </row>
    <row r="358" customFormat="false" ht="15" hidden="false" customHeight="false" outlineLevel="0" collapsed="false">
      <c r="A358" s="2"/>
      <c r="B358" s="3"/>
      <c r="C358" s="3"/>
      <c r="D358" s="3"/>
      <c r="E358" s="3"/>
      <c r="F358" s="4"/>
      <c r="G358" s="4"/>
      <c r="H358" s="4"/>
      <c r="I358" s="4"/>
      <c r="J358" s="4"/>
      <c r="K358" s="5" t="str">
        <f aca="false">IF(OR(F358="",H358="",I358=""),"",IF(D358="Long",(H358-F358)/F358*I358,(F358-H358)/F358*I358))</f>
        <v/>
      </c>
      <c r="L358" s="6" t="str">
        <f aca="false">IF(OR(K358="",J358="",J358=0),"",K358/J358)</f>
        <v/>
      </c>
      <c r="M358" s="3"/>
      <c r="N358" s="3"/>
      <c r="O358" s="3"/>
    </row>
    <row r="359" customFormat="false" ht="15" hidden="false" customHeight="false" outlineLevel="0" collapsed="false">
      <c r="A359" s="2"/>
      <c r="B359" s="3"/>
      <c r="C359" s="3"/>
      <c r="D359" s="3"/>
      <c r="E359" s="3"/>
      <c r="F359" s="4"/>
      <c r="G359" s="4"/>
      <c r="H359" s="4"/>
      <c r="I359" s="4"/>
      <c r="J359" s="4"/>
      <c r="K359" s="5" t="str">
        <f aca="false">IF(OR(F359="",H359="",I359=""),"",IF(D359="Long",(H359-F359)/F359*I359,(F359-H359)/F359*I359))</f>
        <v/>
      </c>
      <c r="L359" s="6" t="str">
        <f aca="false">IF(OR(K359="",J359="",J359=0),"",K359/J359)</f>
        <v/>
      </c>
      <c r="M359" s="3"/>
      <c r="N359" s="3"/>
      <c r="O359" s="3"/>
    </row>
    <row r="360" customFormat="false" ht="15" hidden="false" customHeight="false" outlineLevel="0" collapsed="false">
      <c r="A360" s="2"/>
      <c r="B360" s="3"/>
      <c r="C360" s="3"/>
      <c r="D360" s="3"/>
      <c r="E360" s="3"/>
      <c r="F360" s="4"/>
      <c r="G360" s="4"/>
      <c r="H360" s="4"/>
      <c r="I360" s="4"/>
      <c r="J360" s="4"/>
      <c r="K360" s="5" t="str">
        <f aca="false">IF(OR(F360="",H360="",I360=""),"",IF(D360="Long",(H360-F360)/F360*I360,(F360-H360)/F360*I360))</f>
        <v/>
      </c>
      <c r="L360" s="6" t="str">
        <f aca="false">IF(OR(K360="",J360="",J360=0),"",K360/J360)</f>
        <v/>
      </c>
      <c r="M360" s="3"/>
      <c r="N360" s="3"/>
      <c r="O360" s="3"/>
    </row>
    <row r="361" customFormat="false" ht="15" hidden="false" customHeight="false" outlineLevel="0" collapsed="false">
      <c r="A361" s="2"/>
      <c r="B361" s="3"/>
      <c r="C361" s="3"/>
      <c r="D361" s="3"/>
      <c r="E361" s="3"/>
      <c r="F361" s="4"/>
      <c r="G361" s="4"/>
      <c r="H361" s="4"/>
      <c r="I361" s="4"/>
      <c r="J361" s="4"/>
      <c r="K361" s="5" t="str">
        <f aca="false">IF(OR(F361="",H361="",I361=""),"",IF(D361="Long",(H361-F361)/F361*I361,(F361-H361)/F361*I361))</f>
        <v/>
      </c>
      <c r="L361" s="6" t="str">
        <f aca="false">IF(OR(K361="",J361="",J361=0),"",K361/J361)</f>
        <v/>
      </c>
      <c r="M361" s="3"/>
      <c r="N361" s="3"/>
      <c r="O361" s="3"/>
    </row>
    <row r="362" customFormat="false" ht="15" hidden="false" customHeight="false" outlineLevel="0" collapsed="false">
      <c r="A362" s="2"/>
      <c r="B362" s="3"/>
      <c r="C362" s="3"/>
      <c r="D362" s="3"/>
      <c r="E362" s="3"/>
      <c r="F362" s="4"/>
      <c r="G362" s="4"/>
      <c r="H362" s="4"/>
      <c r="I362" s="4"/>
      <c r="J362" s="4"/>
      <c r="K362" s="5" t="str">
        <f aca="false">IF(OR(F362="",H362="",I362=""),"",IF(D362="Long",(H362-F362)/F362*I362,(F362-H362)/F362*I362))</f>
        <v/>
      </c>
      <c r="L362" s="6" t="str">
        <f aca="false">IF(OR(K362="",J362="",J362=0),"",K362/J362)</f>
        <v/>
      </c>
      <c r="M362" s="3"/>
      <c r="N362" s="3"/>
      <c r="O362" s="3"/>
    </row>
    <row r="363" customFormat="false" ht="15" hidden="false" customHeight="false" outlineLevel="0" collapsed="false">
      <c r="A363" s="2"/>
      <c r="B363" s="3"/>
      <c r="C363" s="3"/>
      <c r="D363" s="3"/>
      <c r="E363" s="3"/>
      <c r="F363" s="4"/>
      <c r="G363" s="4"/>
      <c r="H363" s="4"/>
      <c r="I363" s="4"/>
      <c r="J363" s="4"/>
      <c r="K363" s="5" t="str">
        <f aca="false">IF(OR(F363="",H363="",I363=""),"",IF(D363="Long",(H363-F363)/F363*I363,(F363-H363)/F363*I363))</f>
        <v/>
      </c>
      <c r="L363" s="6" t="str">
        <f aca="false">IF(OR(K363="",J363="",J363=0),"",K363/J363)</f>
        <v/>
      </c>
      <c r="M363" s="3"/>
      <c r="N363" s="3"/>
      <c r="O363" s="3"/>
    </row>
    <row r="364" customFormat="false" ht="15" hidden="false" customHeight="false" outlineLevel="0" collapsed="false">
      <c r="A364" s="2"/>
      <c r="B364" s="3"/>
      <c r="C364" s="3"/>
      <c r="D364" s="3"/>
      <c r="E364" s="3"/>
      <c r="F364" s="4"/>
      <c r="G364" s="4"/>
      <c r="H364" s="4"/>
      <c r="I364" s="4"/>
      <c r="J364" s="4"/>
      <c r="K364" s="5" t="str">
        <f aca="false">IF(OR(F364="",H364="",I364=""),"",IF(D364="Long",(H364-F364)/F364*I364,(F364-H364)/F364*I364))</f>
        <v/>
      </c>
      <c r="L364" s="6" t="str">
        <f aca="false">IF(OR(K364="",J364="",J364=0),"",K364/J364)</f>
        <v/>
      </c>
      <c r="M364" s="3"/>
      <c r="N364" s="3"/>
      <c r="O364" s="3"/>
    </row>
    <row r="365" customFormat="false" ht="15" hidden="false" customHeight="false" outlineLevel="0" collapsed="false">
      <c r="A365" s="2"/>
      <c r="B365" s="3"/>
      <c r="C365" s="3"/>
      <c r="D365" s="3"/>
      <c r="E365" s="3"/>
      <c r="F365" s="4"/>
      <c r="G365" s="4"/>
      <c r="H365" s="4"/>
      <c r="I365" s="4"/>
      <c r="J365" s="4"/>
      <c r="K365" s="5" t="str">
        <f aca="false">IF(OR(F365="",H365="",I365=""),"",IF(D365="Long",(H365-F365)/F365*I365,(F365-H365)/F365*I365))</f>
        <v/>
      </c>
      <c r="L365" s="6" t="str">
        <f aca="false">IF(OR(K365="",J365="",J365=0),"",K365/J365)</f>
        <v/>
      </c>
      <c r="M365" s="3"/>
      <c r="N365" s="3"/>
      <c r="O365" s="3"/>
    </row>
    <row r="366" customFormat="false" ht="15" hidden="false" customHeight="false" outlineLevel="0" collapsed="false">
      <c r="A366" s="2"/>
      <c r="B366" s="3"/>
      <c r="C366" s="3"/>
      <c r="D366" s="3"/>
      <c r="E366" s="3"/>
      <c r="F366" s="4"/>
      <c r="G366" s="4"/>
      <c r="H366" s="4"/>
      <c r="I366" s="4"/>
      <c r="J366" s="4"/>
      <c r="K366" s="5" t="str">
        <f aca="false">IF(OR(F366="",H366="",I366=""),"",IF(D366="Long",(H366-F366)/F366*I366,(F366-H366)/F366*I366))</f>
        <v/>
      </c>
      <c r="L366" s="6" t="str">
        <f aca="false">IF(OR(K366="",J366="",J366=0),"",K366/J366)</f>
        <v/>
      </c>
      <c r="M366" s="3"/>
      <c r="N366" s="3"/>
      <c r="O366" s="3"/>
    </row>
    <row r="367" customFormat="false" ht="15" hidden="false" customHeight="false" outlineLevel="0" collapsed="false">
      <c r="A367" s="2"/>
      <c r="B367" s="3"/>
      <c r="C367" s="3"/>
      <c r="D367" s="3"/>
      <c r="E367" s="3"/>
      <c r="F367" s="4"/>
      <c r="G367" s="4"/>
      <c r="H367" s="4"/>
      <c r="I367" s="4"/>
      <c r="J367" s="4"/>
      <c r="K367" s="5" t="str">
        <f aca="false">IF(OR(F367="",H367="",I367=""),"",IF(D367="Long",(H367-F367)/F367*I367,(F367-H367)/F367*I367))</f>
        <v/>
      </c>
      <c r="L367" s="6" t="str">
        <f aca="false">IF(OR(K367="",J367="",J367=0),"",K367/J367)</f>
        <v/>
      </c>
      <c r="M367" s="3"/>
      <c r="N367" s="3"/>
      <c r="O367" s="3"/>
    </row>
    <row r="368" customFormat="false" ht="15" hidden="false" customHeight="false" outlineLevel="0" collapsed="false">
      <c r="A368" s="2"/>
      <c r="B368" s="3"/>
      <c r="C368" s="3"/>
      <c r="D368" s="3"/>
      <c r="E368" s="3"/>
      <c r="F368" s="4"/>
      <c r="G368" s="4"/>
      <c r="H368" s="4"/>
      <c r="I368" s="4"/>
      <c r="J368" s="4"/>
      <c r="K368" s="5" t="str">
        <f aca="false">IF(OR(F368="",H368="",I368=""),"",IF(D368="Long",(H368-F368)/F368*I368,(F368-H368)/F368*I368))</f>
        <v/>
      </c>
      <c r="L368" s="6" t="str">
        <f aca="false">IF(OR(K368="",J368="",J368=0),"",K368/J368)</f>
        <v/>
      </c>
      <c r="M368" s="3"/>
      <c r="N368" s="3"/>
      <c r="O368" s="3"/>
    </row>
    <row r="369" customFormat="false" ht="15" hidden="false" customHeight="false" outlineLevel="0" collapsed="false">
      <c r="A369" s="2"/>
      <c r="B369" s="3"/>
      <c r="C369" s="3"/>
      <c r="D369" s="3"/>
      <c r="E369" s="3"/>
      <c r="F369" s="4"/>
      <c r="G369" s="4"/>
      <c r="H369" s="4"/>
      <c r="I369" s="4"/>
      <c r="J369" s="4"/>
      <c r="K369" s="5" t="str">
        <f aca="false">IF(OR(F369="",H369="",I369=""),"",IF(D369="Long",(H369-F369)/F369*I369,(F369-H369)/F369*I369))</f>
        <v/>
      </c>
      <c r="L369" s="6" t="str">
        <f aca="false">IF(OR(K369="",J369="",J369=0),"",K369/J369)</f>
        <v/>
      </c>
      <c r="M369" s="3"/>
      <c r="N369" s="3"/>
      <c r="O369" s="3"/>
    </row>
    <row r="370" customFormat="false" ht="15" hidden="false" customHeight="false" outlineLevel="0" collapsed="false">
      <c r="A370" s="2"/>
      <c r="B370" s="3"/>
      <c r="C370" s="3"/>
      <c r="D370" s="3"/>
      <c r="E370" s="3"/>
      <c r="F370" s="4"/>
      <c r="G370" s="4"/>
      <c r="H370" s="4"/>
      <c r="I370" s="4"/>
      <c r="J370" s="4"/>
      <c r="K370" s="5" t="str">
        <f aca="false">IF(OR(F370="",H370="",I370=""),"",IF(D370="Long",(H370-F370)/F370*I370,(F370-H370)/F370*I370))</f>
        <v/>
      </c>
      <c r="L370" s="6" t="str">
        <f aca="false">IF(OR(K370="",J370="",J370=0),"",K370/J370)</f>
        <v/>
      </c>
      <c r="M370" s="3"/>
      <c r="N370" s="3"/>
      <c r="O370" s="3"/>
    </row>
    <row r="371" customFormat="false" ht="15" hidden="false" customHeight="false" outlineLevel="0" collapsed="false">
      <c r="A371" s="2"/>
      <c r="B371" s="3"/>
      <c r="C371" s="3"/>
      <c r="D371" s="3"/>
      <c r="E371" s="3"/>
      <c r="F371" s="4"/>
      <c r="G371" s="4"/>
      <c r="H371" s="4"/>
      <c r="I371" s="4"/>
      <c r="J371" s="4"/>
      <c r="K371" s="5" t="str">
        <f aca="false">IF(OR(F371="",H371="",I371=""),"",IF(D371="Long",(H371-F371)/F371*I371,(F371-H371)/F371*I371))</f>
        <v/>
      </c>
      <c r="L371" s="6" t="str">
        <f aca="false">IF(OR(K371="",J371="",J371=0),"",K371/J371)</f>
        <v/>
      </c>
      <c r="M371" s="3"/>
      <c r="N371" s="3"/>
      <c r="O371" s="3"/>
    </row>
    <row r="372" customFormat="false" ht="15" hidden="false" customHeight="false" outlineLevel="0" collapsed="false">
      <c r="A372" s="2"/>
      <c r="B372" s="3"/>
      <c r="C372" s="3"/>
      <c r="D372" s="3"/>
      <c r="E372" s="3"/>
      <c r="F372" s="4"/>
      <c r="G372" s="4"/>
      <c r="H372" s="4"/>
      <c r="I372" s="4"/>
      <c r="J372" s="4"/>
      <c r="K372" s="5" t="str">
        <f aca="false">IF(OR(F372="",H372="",I372=""),"",IF(D372="Long",(H372-F372)/F372*I372,(F372-H372)/F372*I372))</f>
        <v/>
      </c>
      <c r="L372" s="6" t="str">
        <f aca="false">IF(OR(K372="",J372="",J372=0),"",K372/J372)</f>
        <v/>
      </c>
      <c r="M372" s="3"/>
      <c r="N372" s="3"/>
      <c r="O372" s="3"/>
    </row>
    <row r="373" customFormat="false" ht="15" hidden="false" customHeight="false" outlineLevel="0" collapsed="false">
      <c r="A373" s="2"/>
      <c r="B373" s="3"/>
      <c r="C373" s="3"/>
      <c r="D373" s="3"/>
      <c r="E373" s="3"/>
      <c r="F373" s="4"/>
      <c r="G373" s="4"/>
      <c r="H373" s="4"/>
      <c r="I373" s="4"/>
      <c r="J373" s="4"/>
      <c r="K373" s="5" t="str">
        <f aca="false">IF(OR(F373="",H373="",I373=""),"",IF(D373="Long",(H373-F373)/F373*I373,(F373-H373)/F373*I373))</f>
        <v/>
      </c>
      <c r="L373" s="6" t="str">
        <f aca="false">IF(OR(K373="",J373="",J373=0),"",K373/J373)</f>
        <v/>
      </c>
      <c r="M373" s="3"/>
      <c r="N373" s="3"/>
      <c r="O373" s="3"/>
    </row>
    <row r="374" customFormat="false" ht="15" hidden="false" customHeight="false" outlineLevel="0" collapsed="false">
      <c r="A374" s="2"/>
      <c r="B374" s="3"/>
      <c r="C374" s="3"/>
      <c r="D374" s="3"/>
      <c r="E374" s="3"/>
      <c r="F374" s="4"/>
      <c r="G374" s="4"/>
      <c r="H374" s="4"/>
      <c r="I374" s="4"/>
      <c r="J374" s="4"/>
      <c r="K374" s="5" t="str">
        <f aca="false">IF(OR(F374="",H374="",I374=""),"",IF(D374="Long",(H374-F374)/F374*I374,(F374-H374)/F374*I374))</f>
        <v/>
      </c>
      <c r="L374" s="6" t="str">
        <f aca="false">IF(OR(K374="",J374="",J374=0),"",K374/J374)</f>
        <v/>
      </c>
      <c r="M374" s="3"/>
      <c r="N374" s="3"/>
      <c r="O374" s="3"/>
    </row>
    <row r="375" customFormat="false" ht="15" hidden="false" customHeight="false" outlineLevel="0" collapsed="false">
      <c r="A375" s="2"/>
      <c r="B375" s="3"/>
      <c r="C375" s="3"/>
      <c r="D375" s="3"/>
      <c r="E375" s="3"/>
      <c r="F375" s="4"/>
      <c r="G375" s="4"/>
      <c r="H375" s="4"/>
      <c r="I375" s="4"/>
      <c r="J375" s="4"/>
      <c r="K375" s="5" t="str">
        <f aca="false">IF(OR(F375="",H375="",I375=""),"",IF(D375="Long",(H375-F375)/F375*I375,(F375-H375)/F375*I375))</f>
        <v/>
      </c>
      <c r="L375" s="6" t="str">
        <f aca="false">IF(OR(K375="",J375="",J375=0),"",K375/J375)</f>
        <v/>
      </c>
      <c r="M375" s="3"/>
      <c r="N375" s="3"/>
      <c r="O375" s="3"/>
    </row>
    <row r="376" customFormat="false" ht="15" hidden="false" customHeight="false" outlineLevel="0" collapsed="false">
      <c r="A376" s="2"/>
      <c r="B376" s="3"/>
      <c r="C376" s="3"/>
      <c r="D376" s="3"/>
      <c r="E376" s="3"/>
      <c r="F376" s="4"/>
      <c r="G376" s="4"/>
      <c r="H376" s="4"/>
      <c r="I376" s="4"/>
      <c r="J376" s="4"/>
      <c r="K376" s="5" t="str">
        <f aca="false">IF(OR(F376="",H376="",I376=""),"",IF(D376="Long",(H376-F376)/F376*I376,(F376-H376)/F376*I376))</f>
        <v/>
      </c>
      <c r="L376" s="6" t="str">
        <f aca="false">IF(OR(K376="",J376="",J376=0),"",K376/J376)</f>
        <v/>
      </c>
      <c r="M376" s="3"/>
      <c r="N376" s="3"/>
      <c r="O376" s="3"/>
    </row>
    <row r="377" customFormat="false" ht="15" hidden="false" customHeight="false" outlineLevel="0" collapsed="false">
      <c r="A377" s="2"/>
      <c r="B377" s="3"/>
      <c r="C377" s="3"/>
      <c r="D377" s="3"/>
      <c r="E377" s="3"/>
      <c r="F377" s="4"/>
      <c r="G377" s="4"/>
      <c r="H377" s="4"/>
      <c r="I377" s="4"/>
      <c r="J377" s="4"/>
      <c r="K377" s="5" t="str">
        <f aca="false">IF(OR(F377="",H377="",I377=""),"",IF(D377="Long",(H377-F377)/F377*I377,(F377-H377)/F377*I377))</f>
        <v/>
      </c>
      <c r="L377" s="6" t="str">
        <f aca="false">IF(OR(K377="",J377="",J377=0),"",K377/J377)</f>
        <v/>
      </c>
      <c r="M377" s="3"/>
      <c r="N377" s="3"/>
      <c r="O377" s="3"/>
    </row>
    <row r="378" customFormat="false" ht="15" hidden="false" customHeight="false" outlineLevel="0" collapsed="false">
      <c r="A378" s="2"/>
      <c r="B378" s="3"/>
      <c r="C378" s="3"/>
      <c r="D378" s="3"/>
      <c r="E378" s="3"/>
      <c r="F378" s="4"/>
      <c r="G378" s="4"/>
      <c r="H378" s="4"/>
      <c r="I378" s="4"/>
      <c r="J378" s="4"/>
      <c r="K378" s="5" t="str">
        <f aca="false">IF(OR(F378="",H378="",I378=""),"",IF(D378="Long",(H378-F378)/F378*I378,(F378-H378)/F378*I378))</f>
        <v/>
      </c>
      <c r="L378" s="6" t="str">
        <f aca="false">IF(OR(K378="",J378="",J378=0),"",K378/J378)</f>
        <v/>
      </c>
      <c r="M378" s="3"/>
      <c r="N378" s="3"/>
      <c r="O378" s="3"/>
    </row>
    <row r="379" customFormat="false" ht="15" hidden="false" customHeight="false" outlineLevel="0" collapsed="false">
      <c r="A379" s="2"/>
      <c r="B379" s="3"/>
      <c r="C379" s="3"/>
      <c r="D379" s="3"/>
      <c r="E379" s="3"/>
      <c r="F379" s="4"/>
      <c r="G379" s="4"/>
      <c r="H379" s="4"/>
      <c r="I379" s="4"/>
      <c r="J379" s="4"/>
      <c r="K379" s="5" t="str">
        <f aca="false">IF(OR(F379="",H379="",I379=""),"",IF(D379="Long",(H379-F379)/F379*I379,(F379-H379)/F379*I379))</f>
        <v/>
      </c>
      <c r="L379" s="6" t="str">
        <f aca="false">IF(OR(K379="",J379="",J379=0),"",K379/J379)</f>
        <v/>
      </c>
      <c r="M379" s="3"/>
      <c r="N379" s="3"/>
      <c r="O379" s="3"/>
    </row>
    <row r="380" customFormat="false" ht="15" hidden="false" customHeight="false" outlineLevel="0" collapsed="false">
      <c r="A380" s="2"/>
      <c r="B380" s="3"/>
      <c r="C380" s="3"/>
      <c r="D380" s="3"/>
      <c r="E380" s="3"/>
      <c r="F380" s="4"/>
      <c r="G380" s="4"/>
      <c r="H380" s="4"/>
      <c r="I380" s="4"/>
      <c r="J380" s="4"/>
      <c r="K380" s="5" t="str">
        <f aca="false">IF(OR(F380="",H380="",I380=""),"",IF(D380="Long",(H380-F380)/F380*I380,(F380-H380)/F380*I380))</f>
        <v/>
      </c>
      <c r="L380" s="6" t="str">
        <f aca="false">IF(OR(K380="",J380="",J380=0),"",K380/J380)</f>
        <v/>
      </c>
      <c r="M380" s="3"/>
      <c r="N380" s="3"/>
      <c r="O380" s="3"/>
    </row>
    <row r="381" customFormat="false" ht="15" hidden="false" customHeight="false" outlineLevel="0" collapsed="false">
      <c r="A381" s="2"/>
      <c r="B381" s="3"/>
      <c r="C381" s="3"/>
      <c r="D381" s="3"/>
      <c r="E381" s="3"/>
      <c r="F381" s="4"/>
      <c r="G381" s="4"/>
      <c r="H381" s="4"/>
      <c r="I381" s="4"/>
      <c r="J381" s="4"/>
      <c r="K381" s="5" t="str">
        <f aca="false">IF(OR(F381="",H381="",I381=""),"",IF(D381="Long",(H381-F381)/F381*I381,(F381-H381)/F381*I381))</f>
        <v/>
      </c>
      <c r="L381" s="6" t="str">
        <f aca="false">IF(OR(K381="",J381="",J381=0),"",K381/J381)</f>
        <v/>
      </c>
      <c r="M381" s="3"/>
      <c r="N381" s="3"/>
      <c r="O381" s="3"/>
    </row>
    <row r="382" customFormat="false" ht="15" hidden="false" customHeight="false" outlineLevel="0" collapsed="false">
      <c r="A382" s="2"/>
      <c r="B382" s="3"/>
      <c r="C382" s="3"/>
      <c r="D382" s="3"/>
      <c r="E382" s="3"/>
      <c r="F382" s="4"/>
      <c r="G382" s="4"/>
      <c r="H382" s="4"/>
      <c r="I382" s="4"/>
      <c r="J382" s="4"/>
      <c r="K382" s="5" t="str">
        <f aca="false">IF(OR(F382="",H382="",I382=""),"",IF(D382="Long",(H382-F382)/F382*I382,(F382-H382)/F382*I382))</f>
        <v/>
      </c>
      <c r="L382" s="6" t="str">
        <f aca="false">IF(OR(K382="",J382="",J382=0),"",K382/J382)</f>
        <v/>
      </c>
      <c r="M382" s="3"/>
      <c r="N382" s="3"/>
      <c r="O382" s="3"/>
    </row>
    <row r="383" customFormat="false" ht="15" hidden="false" customHeight="false" outlineLevel="0" collapsed="false">
      <c r="A383" s="2"/>
      <c r="B383" s="3"/>
      <c r="C383" s="3"/>
      <c r="D383" s="3"/>
      <c r="E383" s="3"/>
      <c r="F383" s="4"/>
      <c r="G383" s="4"/>
      <c r="H383" s="4"/>
      <c r="I383" s="4"/>
      <c r="J383" s="4"/>
      <c r="K383" s="5" t="str">
        <f aca="false">IF(OR(F383="",H383="",I383=""),"",IF(D383="Long",(H383-F383)/F383*I383,(F383-H383)/F383*I383))</f>
        <v/>
      </c>
      <c r="L383" s="6" t="str">
        <f aca="false">IF(OR(K383="",J383="",J383=0),"",K383/J383)</f>
        <v/>
      </c>
      <c r="M383" s="3"/>
      <c r="N383" s="3"/>
      <c r="O383" s="3"/>
    </row>
    <row r="384" customFormat="false" ht="15" hidden="false" customHeight="false" outlineLevel="0" collapsed="false">
      <c r="A384" s="2"/>
      <c r="B384" s="3"/>
      <c r="C384" s="3"/>
      <c r="D384" s="3"/>
      <c r="E384" s="3"/>
      <c r="F384" s="4"/>
      <c r="G384" s="4"/>
      <c r="H384" s="4"/>
      <c r="I384" s="4"/>
      <c r="J384" s="4"/>
      <c r="K384" s="5" t="str">
        <f aca="false">IF(OR(F384="",H384="",I384=""),"",IF(D384="Long",(H384-F384)/F384*I384,(F384-H384)/F384*I384))</f>
        <v/>
      </c>
      <c r="L384" s="6" t="str">
        <f aca="false">IF(OR(K384="",J384="",J384=0),"",K384/J384)</f>
        <v/>
      </c>
      <c r="M384" s="3"/>
      <c r="N384" s="3"/>
      <c r="O384" s="3"/>
    </row>
    <row r="385" customFormat="false" ht="15" hidden="false" customHeight="false" outlineLevel="0" collapsed="false">
      <c r="A385" s="2"/>
      <c r="B385" s="3"/>
      <c r="C385" s="3"/>
      <c r="D385" s="3"/>
      <c r="E385" s="3"/>
      <c r="F385" s="4"/>
      <c r="G385" s="4"/>
      <c r="H385" s="4"/>
      <c r="I385" s="4"/>
      <c r="J385" s="4"/>
      <c r="K385" s="5" t="str">
        <f aca="false">IF(OR(F385="",H385="",I385=""),"",IF(D385="Long",(H385-F385)/F385*I385,(F385-H385)/F385*I385))</f>
        <v/>
      </c>
      <c r="L385" s="6" t="str">
        <f aca="false">IF(OR(K385="",J385="",J385=0),"",K385/J385)</f>
        <v/>
      </c>
      <c r="M385" s="3"/>
      <c r="N385" s="3"/>
      <c r="O385" s="3"/>
    </row>
    <row r="386" customFormat="false" ht="15" hidden="false" customHeight="false" outlineLevel="0" collapsed="false">
      <c r="A386" s="2"/>
      <c r="B386" s="3"/>
      <c r="C386" s="3"/>
      <c r="D386" s="3"/>
      <c r="E386" s="3"/>
      <c r="F386" s="4"/>
      <c r="G386" s="4"/>
      <c r="H386" s="4"/>
      <c r="I386" s="4"/>
      <c r="J386" s="4"/>
      <c r="K386" s="5" t="str">
        <f aca="false">IF(OR(F386="",H386="",I386=""),"",IF(D386="Long",(H386-F386)/F386*I386,(F386-H386)/F386*I386))</f>
        <v/>
      </c>
      <c r="L386" s="6" t="str">
        <f aca="false">IF(OR(K386="",J386="",J386=0),"",K386/J386)</f>
        <v/>
      </c>
      <c r="M386" s="3"/>
      <c r="N386" s="3"/>
      <c r="O386" s="3"/>
    </row>
    <row r="387" customFormat="false" ht="15" hidden="false" customHeight="false" outlineLevel="0" collapsed="false">
      <c r="A387" s="2"/>
      <c r="B387" s="3"/>
      <c r="C387" s="3"/>
      <c r="D387" s="3"/>
      <c r="E387" s="3"/>
      <c r="F387" s="4"/>
      <c r="G387" s="4"/>
      <c r="H387" s="4"/>
      <c r="I387" s="4"/>
      <c r="J387" s="4"/>
      <c r="K387" s="5" t="str">
        <f aca="false">IF(OR(F387="",H387="",I387=""),"",IF(D387="Long",(H387-F387)/F387*I387,(F387-H387)/F387*I387))</f>
        <v/>
      </c>
      <c r="L387" s="6" t="str">
        <f aca="false">IF(OR(K387="",J387="",J387=0),"",K387/J387)</f>
        <v/>
      </c>
      <c r="M387" s="3"/>
      <c r="N387" s="3"/>
      <c r="O387" s="3"/>
    </row>
    <row r="388" customFormat="false" ht="15" hidden="false" customHeight="false" outlineLevel="0" collapsed="false">
      <c r="A388" s="2"/>
      <c r="B388" s="3"/>
      <c r="C388" s="3"/>
      <c r="D388" s="3"/>
      <c r="E388" s="3"/>
      <c r="F388" s="4"/>
      <c r="G388" s="4"/>
      <c r="H388" s="4"/>
      <c r="I388" s="4"/>
      <c r="J388" s="4"/>
      <c r="K388" s="5" t="str">
        <f aca="false">IF(OR(F388="",H388="",I388=""),"",IF(D388="Long",(H388-F388)/F388*I388,(F388-H388)/F388*I388))</f>
        <v/>
      </c>
      <c r="L388" s="6" t="str">
        <f aca="false">IF(OR(K388="",J388="",J388=0),"",K388/J388)</f>
        <v/>
      </c>
      <c r="M388" s="3"/>
      <c r="N388" s="3"/>
      <c r="O388" s="3"/>
    </row>
    <row r="389" customFormat="false" ht="15" hidden="false" customHeight="false" outlineLevel="0" collapsed="false">
      <c r="A389" s="2"/>
      <c r="B389" s="3"/>
      <c r="C389" s="3"/>
      <c r="D389" s="3"/>
      <c r="E389" s="3"/>
      <c r="F389" s="4"/>
      <c r="G389" s="4"/>
      <c r="H389" s="4"/>
      <c r="I389" s="4"/>
      <c r="J389" s="4"/>
      <c r="K389" s="5" t="str">
        <f aca="false">IF(OR(F389="",H389="",I389=""),"",IF(D389="Long",(H389-F389)/F389*I389,(F389-H389)/F389*I389))</f>
        <v/>
      </c>
      <c r="L389" s="6" t="str">
        <f aca="false">IF(OR(K389="",J389="",J389=0),"",K389/J389)</f>
        <v/>
      </c>
      <c r="M389" s="3"/>
      <c r="N389" s="3"/>
      <c r="O389" s="3"/>
    </row>
    <row r="390" customFormat="false" ht="15" hidden="false" customHeight="false" outlineLevel="0" collapsed="false">
      <c r="A390" s="2"/>
      <c r="B390" s="3"/>
      <c r="C390" s="3"/>
      <c r="D390" s="3"/>
      <c r="E390" s="3"/>
      <c r="F390" s="4"/>
      <c r="G390" s="4"/>
      <c r="H390" s="4"/>
      <c r="I390" s="4"/>
      <c r="J390" s="4"/>
      <c r="K390" s="5" t="str">
        <f aca="false">IF(OR(F390="",H390="",I390=""),"",IF(D390="Long",(H390-F390)/F390*I390,(F390-H390)/F390*I390))</f>
        <v/>
      </c>
      <c r="L390" s="6" t="str">
        <f aca="false">IF(OR(K390="",J390="",J390=0),"",K390/J390)</f>
        <v/>
      </c>
      <c r="M390" s="3"/>
      <c r="N390" s="3"/>
      <c r="O390" s="3"/>
    </row>
    <row r="391" customFormat="false" ht="15" hidden="false" customHeight="false" outlineLevel="0" collapsed="false">
      <c r="A391" s="2"/>
      <c r="B391" s="3"/>
      <c r="C391" s="3"/>
      <c r="D391" s="3"/>
      <c r="E391" s="3"/>
      <c r="F391" s="4"/>
      <c r="G391" s="4"/>
      <c r="H391" s="4"/>
      <c r="I391" s="4"/>
      <c r="J391" s="4"/>
      <c r="K391" s="5" t="str">
        <f aca="false">IF(OR(F391="",H391="",I391=""),"",IF(D391="Long",(H391-F391)/F391*I391,(F391-H391)/F391*I391))</f>
        <v/>
      </c>
      <c r="L391" s="6" t="str">
        <f aca="false">IF(OR(K391="",J391="",J391=0),"",K391/J391)</f>
        <v/>
      </c>
      <c r="M391" s="3"/>
      <c r="N391" s="3"/>
      <c r="O391" s="3"/>
    </row>
    <row r="392" customFormat="false" ht="15" hidden="false" customHeight="false" outlineLevel="0" collapsed="false">
      <c r="A392" s="2"/>
      <c r="B392" s="3"/>
      <c r="C392" s="3"/>
      <c r="D392" s="3"/>
      <c r="E392" s="3"/>
      <c r="F392" s="4"/>
      <c r="G392" s="4"/>
      <c r="H392" s="4"/>
      <c r="I392" s="4"/>
      <c r="J392" s="4"/>
      <c r="K392" s="5" t="str">
        <f aca="false">IF(OR(F392="",H392="",I392=""),"",IF(D392="Long",(H392-F392)/F392*I392,(F392-H392)/F392*I392))</f>
        <v/>
      </c>
      <c r="L392" s="6" t="str">
        <f aca="false">IF(OR(K392="",J392="",J392=0),"",K392/J392)</f>
        <v/>
      </c>
      <c r="M392" s="3"/>
      <c r="N392" s="3"/>
      <c r="O392" s="3"/>
    </row>
    <row r="393" customFormat="false" ht="15" hidden="false" customHeight="false" outlineLevel="0" collapsed="false">
      <c r="A393" s="2"/>
      <c r="B393" s="3"/>
      <c r="C393" s="3"/>
      <c r="D393" s="3"/>
      <c r="E393" s="3"/>
      <c r="F393" s="4"/>
      <c r="G393" s="4"/>
      <c r="H393" s="4"/>
      <c r="I393" s="4"/>
      <c r="J393" s="4"/>
      <c r="K393" s="5" t="str">
        <f aca="false">IF(OR(F393="",H393="",I393=""),"",IF(D393="Long",(H393-F393)/F393*I393,(F393-H393)/F393*I393))</f>
        <v/>
      </c>
      <c r="L393" s="6" t="str">
        <f aca="false">IF(OR(K393="",J393="",J393=0),"",K393/J393)</f>
        <v/>
      </c>
      <c r="M393" s="3"/>
      <c r="N393" s="3"/>
      <c r="O393" s="3"/>
    </row>
    <row r="394" customFormat="false" ht="15" hidden="false" customHeight="false" outlineLevel="0" collapsed="false">
      <c r="A394" s="2"/>
      <c r="B394" s="3"/>
      <c r="C394" s="3"/>
      <c r="D394" s="3"/>
      <c r="E394" s="3"/>
      <c r="F394" s="4"/>
      <c r="G394" s="4"/>
      <c r="H394" s="4"/>
      <c r="I394" s="4"/>
      <c r="J394" s="4"/>
      <c r="K394" s="5" t="str">
        <f aca="false">IF(OR(F394="",H394="",I394=""),"",IF(D394="Long",(H394-F394)/F394*I394,(F394-H394)/F394*I394))</f>
        <v/>
      </c>
      <c r="L394" s="6" t="str">
        <f aca="false">IF(OR(K394="",J394="",J394=0),"",K394/J394)</f>
        <v/>
      </c>
      <c r="M394" s="3"/>
      <c r="N394" s="3"/>
      <c r="O394" s="3"/>
    </row>
    <row r="395" customFormat="false" ht="15" hidden="false" customHeight="false" outlineLevel="0" collapsed="false">
      <c r="A395" s="2"/>
      <c r="B395" s="3"/>
      <c r="C395" s="3"/>
      <c r="D395" s="3"/>
      <c r="E395" s="3"/>
      <c r="F395" s="4"/>
      <c r="G395" s="4"/>
      <c r="H395" s="4"/>
      <c r="I395" s="4"/>
      <c r="J395" s="4"/>
      <c r="K395" s="5" t="str">
        <f aca="false">IF(OR(F395="",H395="",I395=""),"",IF(D395="Long",(H395-F395)/F395*I395,(F395-H395)/F395*I395))</f>
        <v/>
      </c>
      <c r="L395" s="6" t="str">
        <f aca="false">IF(OR(K395="",J395="",J395=0),"",K395/J395)</f>
        <v/>
      </c>
      <c r="M395" s="3"/>
      <c r="N395" s="3"/>
      <c r="O395" s="3"/>
    </row>
    <row r="396" customFormat="false" ht="15" hidden="false" customHeight="false" outlineLevel="0" collapsed="false">
      <c r="A396" s="2"/>
      <c r="B396" s="3"/>
      <c r="C396" s="3"/>
      <c r="D396" s="3"/>
      <c r="E396" s="3"/>
      <c r="F396" s="4"/>
      <c r="G396" s="4"/>
      <c r="H396" s="4"/>
      <c r="I396" s="4"/>
      <c r="J396" s="4"/>
      <c r="K396" s="5" t="str">
        <f aca="false">IF(OR(F396="",H396="",I396=""),"",IF(D396="Long",(H396-F396)/F396*I396,(F396-H396)/F396*I396))</f>
        <v/>
      </c>
      <c r="L396" s="6" t="str">
        <f aca="false">IF(OR(K396="",J396="",J396=0),"",K396/J396)</f>
        <v/>
      </c>
      <c r="M396" s="3"/>
      <c r="N396" s="3"/>
      <c r="O396" s="3"/>
    </row>
    <row r="397" customFormat="false" ht="15" hidden="false" customHeight="false" outlineLevel="0" collapsed="false">
      <c r="A397" s="2"/>
      <c r="B397" s="3"/>
      <c r="C397" s="3"/>
      <c r="D397" s="3"/>
      <c r="E397" s="3"/>
      <c r="F397" s="4"/>
      <c r="G397" s="4"/>
      <c r="H397" s="4"/>
      <c r="I397" s="4"/>
      <c r="J397" s="4"/>
      <c r="K397" s="5" t="str">
        <f aca="false">IF(OR(F397="",H397="",I397=""),"",IF(D397="Long",(H397-F397)/F397*I397,(F397-H397)/F397*I397))</f>
        <v/>
      </c>
      <c r="L397" s="6" t="str">
        <f aca="false">IF(OR(K397="",J397="",J397=0),"",K397/J397)</f>
        <v/>
      </c>
      <c r="M397" s="3"/>
      <c r="N397" s="3"/>
      <c r="O397" s="3"/>
    </row>
    <row r="398" customFormat="false" ht="15" hidden="false" customHeight="false" outlineLevel="0" collapsed="false">
      <c r="A398" s="2"/>
      <c r="B398" s="3"/>
      <c r="C398" s="3"/>
      <c r="D398" s="3"/>
      <c r="E398" s="3"/>
      <c r="F398" s="4"/>
      <c r="G398" s="4"/>
      <c r="H398" s="4"/>
      <c r="I398" s="4"/>
      <c r="J398" s="4"/>
      <c r="K398" s="5" t="str">
        <f aca="false">IF(OR(F398="",H398="",I398=""),"",IF(D398="Long",(H398-F398)/F398*I398,(F398-H398)/F398*I398))</f>
        <v/>
      </c>
      <c r="L398" s="6" t="str">
        <f aca="false">IF(OR(K398="",J398="",J398=0),"",K398/J398)</f>
        <v/>
      </c>
      <c r="M398" s="3"/>
      <c r="N398" s="3"/>
      <c r="O398" s="3"/>
    </row>
    <row r="399" customFormat="false" ht="15" hidden="false" customHeight="false" outlineLevel="0" collapsed="false">
      <c r="A399" s="2"/>
      <c r="B399" s="3"/>
      <c r="C399" s="3"/>
      <c r="D399" s="3"/>
      <c r="E399" s="3"/>
      <c r="F399" s="4"/>
      <c r="G399" s="4"/>
      <c r="H399" s="4"/>
      <c r="I399" s="4"/>
      <c r="J399" s="4"/>
      <c r="K399" s="5" t="str">
        <f aca="false">IF(OR(F399="",H399="",I399=""),"",IF(D399="Long",(H399-F399)/F399*I399,(F399-H399)/F399*I399))</f>
        <v/>
      </c>
      <c r="L399" s="6" t="str">
        <f aca="false">IF(OR(K399="",J399="",J399=0),"",K399/J399)</f>
        <v/>
      </c>
      <c r="M399" s="3"/>
      <c r="N399" s="3"/>
      <c r="O399" s="3"/>
    </row>
    <row r="400" customFormat="false" ht="15" hidden="false" customHeight="false" outlineLevel="0" collapsed="false">
      <c r="A400" s="2"/>
      <c r="B400" s="3"/>
      <c r="C400" s="3"/>
      <c r="D400" s="3"/>
      <c r="E400" s="3"/>
      <c r="F400" s="4"/>
      <c r="G400" s="4"/>
      <c r="H400" s="4"/>
      <c r="I400" s="4"/>
      <c r="J400" s="4"/>
      <c r="K400" s="5" t="str">
        <f aca="false">IF(OR(F400="",H400="",I400=""),"",IF(D400="Long",(H400-F400)/F400*I400,(F400-H400)/F400*I400))</f>
        <v/>
      </c>
      <c r="L400" s="6" t="str">
        <f aca="false">IF(OR(K400="",J400="",J400=0),"",K400/J400)</f>
        <v/>
      </c>
      <c r="M400" s="3"/>
      <c r="N400" s="3"/>
      <c r="O400" s="3"/>
    </row>
    <row r="401" customFormat="false" ht="15" hidden="false" customHeight="false" outlineLevel="0" collapsed="false">
      <c r="A401" s="2"/>
      <c r="B401" s="3"/>
      <c r="C401" s="3"/>
      <c r="D401" s="3"/>
      <c r="E401" s="3"/>
      <c r="F401" s="4"/>
      <c r="G401" s="4"/>
      <c r="H401" s="4"/>
      <c r="I401" s="4"/>
      <c r="J401" s="4"/>
      <c r="K401" s="5" t="str">
        <f aca="false">IF(OR(F401="",H401="",I401=""),"",IF(D401="Long",(H401-F401)/F401*I401,(F401-H401)/F401*I401))</f>
        <v/>
      </c>
      <c r="L401" s="6" t="str">
        <f aca="false">IF(OR(K401="",J401="",J401=0),"",K401/J401)</f>
        <v/>
      </c>
      <c r="M401" s="3"/>
      <c r="N401" s="3"/>
      <c r="O401" s="3"/>
    </row>
    <row r="402" customFormat="false" ht="15" hidden="false" customHeight="false" outlineLevel="0" collapsed="false">
      <c r="A402" s="2"/>
      <c r="B402" s="3"/>
      <c r="C402" s="3"/>
      <c r="D402" s="3"/>
      <c r="E402" s="3"/>
      <c r="F402" s="4"/>
      <c r="G402" s="4"/>
      <c r="H402" s="4"/>
      <c r="I402" s="4"/>
      <c r="J402" s="4"/>
      <c r="K402" s="5" t="str">
        <f aca="false">IF(OR(F402="",H402="",I402=""),"",IF(D402="Long",(H402-F402)/F402*I402,(F402-H402)/F402*I402))</f>
        <v/>
      </c>
      <c r="L402" s="6" t="str">
        <f aca="false">IF(OR(K402="",J402="",J402=0),"",K402/J402)</f>
        <v/>
      </c>
      <c r="M402" s="3"/>
      <c r="N402" s="3"/>
      <c r="O402" s="3"/>
    </row>
    <row r="403" customFormat="false" ht="15" hidden="false" customHeight="false" outlineLevel="0" collapsed="false">
      <c r="A403" s="2"/>
      <c r="B403" s="3"/>
      <c r="C403" s="3"/>
      <c r="D403" s="3"/>
      <c r="E403" s="3"/>
      <c r="F403" s="4"/>
      <c r="G403" s="4"/>
      <c r="H403" s="4"/>
      <c r="I403" s="4"/>
      <c r="J403" s="4"/>
      <c r="K403" s="5" t="str">
        <f aca="false">IF(OR(F403="",H403="",I403=""),"",IF(D403="Long",(H403-F403)/F403*I403,(F403-H403)/F403*I403))</f>
        <v/>
      </c>
      <c r="L403" s="6" t="str">
        <f aca="false">IF(OR(K403="",J403="",J403=0),"",K403/J403)</f>
        <v/>
      </c>
      <c r="M403" s="3"/>
      <c r="N403" s="3"/>
      <c r="O403" s="3"/>
    </row>
    <row r="404" customFormat="false" ht="15" hidden="false" customHeight="false" outlineLevel="0" collapsed="false">
      <c r="A404" s="2"/>
      <c r="B404" s="3"/>
      <c r="C404" s="3"/>
      <c r="D404" s="3"/>
      <c r="E404" s="3"/>
      <c r="F404" s="4"/>
      <c r="G404" s="4"/>
      <c r="H404" s="4"/>
      <c r="I404" s="4"/>
      <c r="J404" s="4"/>
      <c r="K404" s="5" t="str">
        <f aca="false">IF(OR(F404="",H404="",I404=""),"",IF(D404="Long",(H404-F404)/F404*I404,(F404-H404)/F404*I404))</f>
        <v/>
      </c>
      <c r="L404" s="6" t="str">
        <f aca="false">IF(OR(K404="",J404="",J404=0),"",K404/J404)</f>
        <v/>
      </c>
      <c r="M404" s="3"/>
      <c r="N404" s="3"/>
      <c r="O404" s="3"/>
    </row>
    <row r="405" customFormat="false" ht="15" hidden="false" customHeight="false" outlineLevel="0" collapsed="false">
      <c r="A405" s="2"/>
      <c r="B405" s="3"/>
      <c r="C405" s="3"/>
      <c r="D405" s="3"/>
      <c r="E405" s="3"/>
      <c r="F405" s="4"/>
      <c r="G405" s="4"/>
      <c r="H405" s="4"/>
      <c r="I405" s="4"/>
      <c r="J405" s="4"/>
      <c r="K405" s="5" t="str">
        <f aca="false">IF(OR(F405="",H405="",I405=""),"",IF(D405="Long",(H405-F405)/F405*I405,(F405-H405)/F405*I405))</f>
        <v/>
      </c>
      <c r="L405" s="6" t="str">
        <f aca="false">IF(OR(K405="",J405="",J405=0),"",K405/J405)</f>
        <v/>
      </c>
      <c r="M405" s="3"/>
      <c r="N405" s="3"/>
      <c r="O405" s="3"/>
    </row>
    <row r="406" customFormat="false" ht="15" hidden="false" customHeight="false" outlineLevel="0" collapsed="false">
      <c r="A406" s="2"/>
      <c r="B406" s="3"/>
      <c r="C406" s="3"/>
      <c r="D406" s="3"/>
      <c r="E406" s="3"/>
      <c r="F406" s="4"/>
      <c r="G406" s="4"/>
      <c r="H406" s="4"/>
      <c r="I406" s="4"/>
      <c r="J406" s="4"/>
      <c r="K406" s="5" t="str">
        <f aca="false">IF(OR(F406="",H406="",I406=""),"",IF(D406="Long",(H406-F406)/F406*I406,(F406-H406)/F406*I406))</f>
        <v/>
      </c>
      <c r="L406" s="6" t="str">
        <f aca="false">IF(OR(K406="",J406="",J406=0),"",K406/J406)</f>
        <v/>
      </c>
      <c r="M406" s="3"/>
      <c r="N406" s="3"/>
      <c r="O406" s="3"/>
    </row>
    <row r="407" customFormat="false" ht="15" hidden="false" customHeight="false" outlineLevel="0" collapsed="false">
      <c r="A407" s="2"/>
      <c r="B407" s="3"/>
      <c r="C407" s="3"/>
      <c r="D407" s="3"/>
      <c r="E407" s="3"/>
      <c r="F407" s="4"/>
      <c r="G407" s="4"/>
      <c r="H407" s="4"/>
      <c r="I407" s="4"/>
      <c r="J407" s="4"/>
      <c r="K407" s="5" t="str">
        <f aca="false">IF(OR(F407="",H407="",I407=""),"",IF(D407="Long",(H407-F407)/F407*I407,(F407-H407)/F407*I407))</f>
        <v/>
      </c>
      <c r="L407" s="6" t="str">
        <f aca="false">IF(OR(K407="",J407="",J407=0),"",K407/J407)</f>
        <v/>
      </c>
      <c r="M407" s="3"/>
      <c r="N407" s="3"/>
      <c r="O407" s="3"/>
    </row>
    <row r="408" customFormat="false" ht="15" hidden="false" customHeight="false" outlineLevel="0" collapsed="false">
      <c r="A408" s="2"/>
      <c r="B408" s="3"/>
      <c r="C408" s="3"/>
      <c r="D408" s="3"/>
      <c r="E408" s="3"/>
      <c r="F408" s="4"/>
      <c r="G408" s="4"/>
      <c r="H408" s="4"/>
      <c r="I408" s="4"/>
      <c r="J408" s="4"/>
      <c r="K408" s="5" t="str">
        <f aca="false">IF(OR(F408="",H408="",I408=""),"",IF(D408="Long",(H408-F408)/F408*I408,(F408-H408)/F408*I408))</f>
        <v/>
      </c>
      <c r="L408" s="6" t="str">
        <f aca="false">IF(OR(K408="",J408="",J408=0),"",K408/J408)</f>
        <v/>
      </c>
      <c r="M408" s="3"/>
      <c r="N408" s="3"/>
      <c r="O408" s="3"/>
    </row>
    <row r="409" customFormat="false" ht="15" hidden="false" customHeight="false" outlineLevel="0" collapsed="false">
      <c r="A409" s="2"/>
      <c r="B409" s="3"/>
      <c r="C409" s="3"/>
      <c r="D409" s="3"/>
      <c r="E409" s="3"/>
      <c r="F409" s="4"/>
      <c r="G409" s="4"/>
      <c r="H409" s="4"/>
      <c r="I409" s="4"/>
      <c r="J409" s="4"/>
      <c r="K409" s="5" t="str">
        <f aca="false">IF(OR(F409="",H409="",I409=""),"",IF(D409="Long",(H409-F409)/F409*I409,(F409-H409)/F409*I409))</f>
        <v/>
      </c>
      <c r="L409" s="6" t="str">
        <f aca="false">IF(OR(K409="",J409="",J409=0),"",K409/J409)</f>
        <v/>
      </c>
      <c r="M409" s="3"/>
      <c r="N409" s="3"/>
      <c r="O409" s="3"/>
    </row>
    <row r="410" customFormat="false" ht="15" hidden="false" customHeight="false" outlineLevel="0" collapsed="false">
      <c r="A410" s="2"/>
      <c r="B410" s="3"/>
      <c r="C410" s="3"/>
      <c r="D410" s="3"/>
      <c r="E410" s="3"/>
      <c r="F410" s="4"/>
      <c r="G410" s="4"/>
      <c r="H410" s="4"/>
      <c r="I410" s="4"/>
      <c r="J410" s="4"/>
      <c r="K410" s="5" t="str">
        <f aca="false">IF(OR(F410="",H410="",I410=""),"",IF(D410="Long",(H410-F410)/F410*I410,(F410-H410)/F410*I410))</f>
        <v/>
      </c>
      <c r="L410" s="6" t="str">
        <f aca="false">IF(OR(K410="",J410="",J410=0),"",K410/J410)</f>
        <v/>
      </c>
      <c r="M410" s="3"/>
      <c r="N410" s="3"/>
      <c r="O410" s="3"/>
    </row>
    <row r="411" customFormat="false" ht="15" hidden="false" customHeight="false" outlineLevel="0" collapsed="false">
      <c r="A411" s="2"/>
      <c r="B411" s="3"/>
      <c r="C411" s="3"/>
      <c r="D411" s="3"/>
      <c r="E411" s="3"/>
      <c r="F411" s="4"/>
      <c r="G411" s="4"/>
      <c r="H411" s="4"/>
      <c r="I411" s="4"/>
      <c r="J411" s="4"/>
      <c r="K411" s="5" t="str">
        <f aca="false">IF(OR(F411="",H411="",I411=""),"",IF(D411="Long",(H411-F411)/F411*I411,(F411-H411)/F411*I411))</f>
        <v/>
      </c>
      <c r="L411" s="6" t="str">
        <f aca="false">IF(OR(K411="",J411="",J411=0),"",K411/J411)</f>
        <v/>
      </c>
      <c r="M411" s="3"/>
      <c r="N411" s="3"/>
      <c r="O411" s="3"/>
    </row>
    <row r="412" customFormat="false" ht="15" hidden="false" customHeight="false" outlineLevel="0" collapsed="false">
      <c r="A412" s="2"/>
      <c r="B412" s="3"/>
      <c r="C412" s="3"/>
      <c r="D412" s="3"/>
      <c r="E412" s="3"/>
      <c r="F412" s="4"/>
      <c r="G412" s="4"/>
      <c r="H412" s="4"/>
      <c r="I412" s="4"/>
      <c r="J412" s="4"/>
      <c r="K412" s="5" t="str">
        <f aca="false">IF(OR(F412="",H412="",I412=""),"",IF(D412="Long",(H412-F412)/F412*I412,(F412-H412)/F412*I412))</f>
        <v/>
      </c>
      <c r="L412" s="6" t="str">
        <f aca="false">IF(OR(K412="",J412="",J412=0),"",K412/J412)</f>
        <v/>
      </c>
      <c r="M412" s="3"/>
      <c r="N412" s="3"/>
      <c r="O412" s="3"/>
    </row>
    <row r="413" customFormat="false" ht="15" hidden="false" customHeight="false" outlineLevel="0" collapsed="false">
      <c r="A413" s="2"/>
      <c r="B413" s="3"/>
      <c r="C413" s="3"/>
      <c r="D413" s="3"/>
      <c r="E413" s="3"/>
      <c r="F413" s="4"/>
      <c r="G413" s="4"/>
      <c r="H413" s="4"/>
      <c r="I413" s="4"/>
      <c r="J413" s="4"/>
      <c r="K413" s="5" t="str">
        <f aca="false">IF(OR(F413="",H413="",I413=""),"",IF(D413="Long",(H413-F413)/F413*I413,(F413-H413)/F413*I413))</f>
        <v/>
      </c>
      <c r="L413" s="6" t="str">
        <f aca="false">IF(OR(K413="",J413="",J413=0),"",K413/J413)</f>
        <v/>
      </c>
      <c r="M413" s="3"/>
      <c r="N413" s="3"/>
      <c r="O413" s="3"/>
    </row>
    <row r="414" customFormat="false" ht="15" hidden="false" customHeight="false" outlineLevel="0" collapsed="false">
      <c r="A414" s="2"/>
      <c r="B414" s="3"/>
      <c r="C414" s="3"/>
      <c r="D414" s="3"/>
      <c r="E414" s="3"/>
      <c r="F414" s="4"/>
      <c r="G414" s="4"/>
      <c r="H414" s="4"/>
      <c r="I414" s="4"/>
      <c r="J414" s="4"/>
      <c r="K414" s="5" t="str">
        <f aca="false">IF(OR(F414="",H414="",I414=""),"",IF(D414="Long",(H414-F414)/F414*I414,(F414-H414)/F414*I414))</f>
        <v/>
      </c>
      <c r="L414" s="6" t="str">
        <f aca="false">IF(OR(K414="",J414="",J414=0),"",K414/J414)</f>
        <v/>
      </c>
      <c r="M414" s="3"/>
      <c r="N414" s="3"/>
      <c r="O414" s="3"/>
    </row>
    <row r="415" customFormat="false" ht="15" hidden="false" customHeight="false" outlineLevel="0" collapsed="false">
      <c r="A415" s="2"/>
      <c r="B415" s="3"/>
      <c r="C415" s="3"/>
      <c r="D415" s="3"/>
      <c r="E415" s="3"/>
      <c r="F415" s="4"/>
      <c r="G415" s="4"/>
      <c r="H415" s="4"/>
      <c r="I415" s="4"/>
      <c r="J415" s="4"/>
      <c r="K415" s="5" t="str">
        <f aca="false">IF(OR(F415="",H415="",I415=""),"",IF(D415="Long",(H415-F415)/F415*I415,(F415-H415)/F415*I415))</f>
        <v/>
      </c>
      <c r="L415" s="6" t="str">
        <f aca="false">IF(OR(K415="",J415="",J415=0),"",K415/J415)</f>
        <v/>
      </c>
      <c r="M415" s="3"/>
      <c r="N415" s="3"/>
      <c r="O415" s="3"/>
    </row>
    <row r="416" customFormat="false" ht="15" hidden="false" customHeight="false" outlineLevel="0" collapsed="false">
      <c r="A416" s="2"/>
      <c r="B416" s="3"/>
      <c r="C416" s="3"/>
      <c r="D416" s="3"/>
      <c r="E416" s="3"/>
      <c r="F416" s="4"/>
      <c r="G416" s="4"/>
      <c r="H416" s="4"/>
      <c r="I416" s="4"/>
      <c r="J416" s="4"/>
      <c r="K416" s="5" t="str">
        <f aca="false">IF(OR(F416="",H416="",I416=""),"",IF(D416="Long",(H416-F416)/F416*I416,(F416-H416)/F416*I416))</f>
        <v/>
      </c>
      <c r="L416" s="6" t="str">
        <f aca="false">IF(OR(K416="",J416="",J416=0),"",K416/J416)</f>
        <v/>
      </c>
      <c r="M416" s="3"/>
      <c r="N416" s="3"/>
      <c r="O416" s="3"/>
    </row>
    <row r="417" customFormat="false" ht="15" hidden="false" customHeight="false" outlineLevel="0" collapsed="false">
      <c r="A417" s="2"/>
      <c r="B417" s="3"/>
      <c r="C417" s="3"/>
      <c r="D417" s="3"/>
      <c r="E417" s="3"/>
      <c r="F417" s="4"/>
      <c r="G417" s="4"/>
      <c r="H417" s="4"/>
      <c r="I417" s="4"/>
      <c r="J417" s="4"/>
      <c r="K417" s="5" t="str">
        <f aca="false">IF(OR(F417="",H417="",I417=""),"",IF(D417="Long",(H417-F417)/F417*I417,(F417-H417)/F417*I417))</f>
        <v/>
      </c>
      <c r="L417" s="6" t="str">
        <f aca="false">IF(OR(K417="",J417="",J417=0),"",K417/J417)</f>
        <v/>
      </c>
      <c r="M417" s="3"/>
      <c r="N417" s="3"/>
      <c r="O417" s="3"/>
    </row>
    <row r="418" customFormat="false" ht="15" hidden="false" customHeight="false" outlineLevel="0" collapsed="false">
      <c r="A418" s="2"/>
      <c r="B418" s="3"/>
      <c r="C418" s="3"/>
      <c r="D418" s="3"/>
      <c r="E418" s="3"/>
      <c r="F418" s="4"/>
      <c r="G418" s="4"/>
      <c r="H418" s="4"/>
      <c r="I418" s="4"/>
      <c r="J418" s="4"/>
      <c r="K418" s="5" t="str">
        <f aca="false">IF(OR(F418="",H418="",I418=""),"",IF(D418="Long",(H418-F418)/F418*I418,(F418-H418)/F418*I418))</f>
        <v/>
      </c>
      <c r="L418" s="6" t="str">
        <f aca="false">IF(OR(K418="",J418="",J418=0),"",K418/J418)</f>
        <v/>
      </c>
      <c r="M418" s="3"/>
      <c r="N418" s="3"/>
      <c r="O418" s="3"/>
    </row>
    <row r="419" customFormat="false" ht="15" hidden="false" customHeight="false" outlineLevel="0" collapsed="false">
      <c r="A419" s="2"/>
      <c r="B419" s="3"/>
      <c r="C419" s="3"/>
      <c r="D419" s="3"/>
      <c r="E419" s="3"/>
      <c r="F419" s="4"/>
      <c r="G419" s="4"/>
      <c r="H419" s="4"/>
      <c r="I419" s="4"/>
      <c r="J419" s="4"/>
      <c r="K419" s="5" t="str">
        <f aca="false">IF(OR(F419="",H419="",I419=""),"",IF(D419="Long",(H419-F419)/F419*I419,(F419-H419)/F419*I419))</f>
        <v/>
      </c>
      <c r="L419" s="6" t="str">
        <f aca="false">IF(OR(K419="",J419="",J419=0),"",K419/J419)</f>
        <v/>
      </c>
      <c r="M419" s="3"/>
      <c r="N419" s="3"/>
      <c r="O419" s="3"/>
    </row>
    <row r="420" customFormat="false" ht="15" hidden="false" customHeight="false" outlineLevel="0" collapsed="false">
      <c r="A420" s="2"/>
      <c r="B420" s="3"/>
      <c r="C420" s="3"/>
      <c r="D420" s="3"/>
      <c r="E420" s="3"/>
      <c r="F420" s="4"/>
      <c r="G420" s="4"/>
      <c r="H420" s="4"/>
      <c r="I420" s="4"/>
      <c r="J420" s="4"/>
      <c r="K420" s="5" t="str">
        <f aca="false">IF(OR(F420="",H420="",I420=""),"",IF(D420="Long",(H420-F420)/F420*I420,(F420-H420)/F420*I420))</f>
        <v/>
      </c>
      <c r="L420" s="6" t="str">
        <f aca="false">IF(OR(K420="",J420="",J420=0),"",K420/J420)</f>
        <v/>
      </c>
      <c r="M420" s="3"/>
      <c r="N420" s="3"/>
      <c r="O420" s="3"/>
    </row>
    <row r="421" customFormat="false" ht="15" hidden="false" customHeight="false" outlineLevel="0" collapsed="false">
      <c r="A421" s="2"/>
      <c r="B421" s="3"/>
      <c r="C421" s="3"/>
      <c r="D421" s="3"/>
      <c r="E421" s="3"/>
      <c r="F421" s="4"/>
      <c r="G421" s="4"/>
      <c r="H421" s="4"/>
      <c r="I421" s="4"/>
      <c r="J421" s="4"/>
      <c r="K421" s="5" t="str">
        <f aca="false">IF(OR(F421="",H421="",I421=""),"",IF(D421="Long",(H421-F421)/F421*I421,(F421-H421)/F421*I421))</f>
        <v/>
      </c>
      <c r="L421" s="6" t="str">
        <f aca="false">IF(OR(K421="",J421="",J421=0),"",K421/J421)</f>
        <v/>
      </c>
      <c r="M421" s="3"/>
      <c r="N421" s="3"/>
      <c r="O421" s="3"/>
    </row>
    <row r="422" customFormat="false" ht="15" hidden="false" customHeight="false" outlineLevel="0" collapsed="false">
      <c r="A422" s="2"/>
      <c r="B422" s="3"/>
      <c r="C422" s="3"/>
      <c r="D422" s="3"/>
      <c r="E422" s="3"/>
      <c r="F422" s="4"/>
      <c r="G422" s="4"/>
      <c r="H422" s="4"/>
      <c r="I422" s="4"/>
      <c r="J422" s="4"/>
      <c r="K422" s="5" t="str">
        <f aca="false">IF(OR(F422="",H422="",I422=""),"",IF(D422="Long",(H422-F422)/F422*I422,(F422-H422)/F422*I422))</f>
        <v/>
      </c>
      <c r="L422" s="6" t="str">
        <f aca="false">IF(OR(K422="",J422="",J422=0),"",K422/J422)</f>
        <v/>
      </c>
      <c r="M422" s="3"/>
      <c r="N422" s="3"/>
      <c r="O422" s="3"/>
    </row>
    <row r="423" customFormat="false" ht="15" hidden="false" customHeight="false" outlineLevel="0" collapsed="false">
      <c r="A423" s="2"/>
      <c r="B423" s="3"/>
      <c r="C423" s="3"/>
      <c r="D423" s="3"/>
      <c r="E423" s="3"/>
      <c r="F423" s="4"/>
      <c r="G423" s="4"/>
      <c r="H423" s="4"/>
      <c r="I423" s="4"/>
      <c r="J423" s="4"/>
      <c r="K423" s="5" t="str">
        <f aca="false">IF(OR(F423="",H423="",I423=""),"",IF(D423="Long",(H423-F423)/F423*I423,(F423-H423)/F423*I423))</f>
        <v/>
      </c>
      <c r="L423" s="6" t="str">
        <f aca="false">IF(OR(K423="",J423="",J423=0),"",K423/J423)</f>
        <v/>
      </c>
      <c r="M423" s="3"/>
      <c r="N423" s="3"/>
      <c r="O423" s="3"/>
    </row>
    <row r="424" customFormat="false" ht="15" hidden="false" customHeight="false" outlineLevel="0" collapsed="false">
      <c r="A424" s="2"/>
      <c r="B424" s="3"/>
      <c r="C424" s="3"/>
      <c r="D424" s="3"/>
      <c r="E424" s="3"/>
      <c r="F424" s="4"/>
      <c r="G424" s="4"/>
      <c r="H424" s="4"/>
      <c r="I424" s="4"/>
      <c r="J424" s="4"/>
      <c r="K424" s="5" t="str">
        <f aca="false">IF(OR(F424="",H424="",I424=""),"",IF(D424="Long",(H424-F424)/F424*I424,(F424-H424)/F424*I424))</f>
        <v/>
      </c>
      <c r="L424" s="6" t="str">
        <f aca="false">IF(OR(K424="",J424="",J424=0),"",K424/J424)</f>
        <v/>
      </c>
      <c r="M424" s="3"/>
      <c r="N424" s="3"/>
      <c r="O424" s="3"/>
    </row>
    <row r="425" customFormat="false" ht="15" hidden="false" customHeight="false" outlineLevel="0" collapsed="false">
      <c r="A425" s="2"/>
      <c r="B425" s="3"/>
      <c r="C425" s="3"/>
      <c r="D425" s="3"/>
      <c r="E425" s="3"/>
      <c r="F425" s="4"/>
      <c r="G425" s="4"/>
      <c r="H425" s="4"/>
      <c r="I425" s="4"/>
      <c r="J425" s="4"/>
      <c r="K425" s="5" t="str">
        <f aca="false">IF(OR(F425="",H425="",I425=""),"",IF(D425="Long",(H425-F425)/F425*I425,(F425-H425)/F425*I425))</f>
        <v/>
      </c>
      <c r="L425" s="6" t="str">
        <f aca="false">IF(OR(K425="",J425="",J425=0),"",K425/J425)</f>
        <v/>
      </c>
      <c r="M425" s="3"/>
      <c r="N425" s="3"/>
      <c r="O425" s="3"/>
    </row>
    <row r="426" customFormat="false" ht="15" hidden="false" customHeight="false" outlineLevel="0" collapsed="false">
      <c r="A426" s="2"/>
      <c r="B426" s="3"/>
      <c r="C426" s="3"/>
      <c r="D426" s="3"/>
      <c r="E426" s="3"/>
      <c r="F426" s="4"/>
      <c r="G426" s="4"/>
      <c r="H426" s="4"/>
      <c r="I426" s="4"/>
      <c r="J426" s="4"/>
      <c r="K426" s="5" t="str">
        <f aca="false">IF(OR(F426="",H426="",I426=""),"",IF(D426="Long",(H426-F426)/F426*I426,(F426-H426)/F426*I426))</f>
        <v/>
      </c>
      <c r="L426" s="6" t="str">
        <f aca="false">IF(OR(K426="",J426="",J426=0),"",K426/J426)</f>
        <v/>
      </c>
      <c r="M426" s="3"/>
      <c r="N426" s="3"/>
      <c r="O426" s="3"/>
    </row>
    <row r="427" customFormat="false" ht="15" hidden="false" customHeight="false" outlineLevel="0" collapsed="false">
      <c r="A427" s="2"/>
      <c r="B427" s="3"/>
      <c r="C427" s="3"/>
      <c r="D427" s="3"/>
      <c r="E427" s="3"/>
      <c r="F427" s="4"/>
      <c r="G427" s="4"/>
      <c r="H427" s="4"/>
      <c r="I427" s="4"/>
      <c r="J427" s="4"/>
      <c r="K427" s="5" t="str">
        <f aca="false">IF(OR(F427="",H427="",I427=""),"",IF(D427="Long",(H427-F427)/F427*I427,(F427-H427)/F427*I427))</f>
        <v/>
      </c>
      <c r="L427" s="6" t="str">
        <f aca="false">IF(OR(K427="",J427="",J427=0),"",K427/J427)</f>
        <v/>
      </c>
      <c r="M427" s="3"/>
      <c r="N427" s="3"/>
      <c r="O427" s="3"/>
    </row>
    <row r="428" customFormat="false" ht="15" hidden="false" customHeight="false" outlineLevel="0" collapsed="false">
      <c r="A428" s="2"/>
      <c r="B428" s="3"/>
      <c r="C428" s="3"/>
      <c r="D428" s="3"/>
      <c r="E428" s="3"/>
      <c r="F428" s="4"/>
      <c r="G428" s="4"/>
      <c r="H428" s="4"/>
      <c r="I428" s="4"/>
      <c r="J428" s="4"/>
      <c r="K428" s="5" t="str">
        <f aca="false">IF(OR(F428="",H428="",I428=""),"",IF(D428="Long",(H428-F428)/F428*I428,(F428-H428)/F428*I428))</f>
        <v/>
      </c>
      <c r="L428" s="6" t="str">
        <f aca="false">IF(OR(K428="",J428="",J428=0),"",K428/J428)</f>
        <v/>
      </c>
      <c r="M428" s="3"/>
      <c r="N428" s="3"/>
      <c r="O428" s="3"/>
    </row>
    <row r="429" customFormat="false" ht="15" hidden="false" customHeight="false" outlineLevel="0" collapsed="false">
      <c r="A429" s="2"/>
      <c r="B429" s="3"/>
      <c r="C429" s="3"/>
      <c r="D429" s="3"/>
      <c r="E429" s="3"/>
      <c r="F429" s="4"/>
      <c r="G429" s="4"/>
      <c r="H429" s="4"/>
      <c r="I429" s="4"/>
      <c r="J429" s="4"/>
      <c r="K429" s="5" t="str">
        <f aca="false">IF(OR(F429="",H429="",I429=""),"",IF(D429="Long",(H429-F429)/F429*I429,(F429-H429)/F429*I429))</f>
        <v/>
      </c>
      <c r="L429" s="6" t="str">
        <f aca="false">IF(OR(K429="",J429="",J429=0),"",K429/J429)</f>
        <v/>
      </c>
      <c r="M429" s="3"/>
      <c r="N429" s="3"/>
      <c r="O429" s="3"/>
    </row>
    <row r="430" customFormat="false" ht="15" hidden="false" customHeight="false" outlineLevel="0" collapsed="false">
      <c r="A430" s="2"/>
      <c r="B430" s="3"/>
      <c r="C430" s="3"/>
      <c r="D430" s="3"/>
      <c r="E430" s="3"/>
      <c r="F430" s="4"/>
      <c r="G430" s="4"/>
      <c r="H430" s="4"/>
      <c r="I430" s="4"/>
      <c r="J430" s="4"/>
      <c r="K430" s="5" t="str">
        <f aca="false">IF(OR(F430="",H430="",I430=""),"",IF(D430="Long",(H430-F430)/F430*I430,(F430-H430)/F430*I430))</f>
        <v/>
      </c>
      <c r="L430" s="6" t="str">
        <f aca="false">IF(OR(K430="",J430="",J430=0),"",K430/J430)</f>
        <v/>
      </c>
      <c r="M430" s="3"/>
      <c r="N430" s="3"/>
      <c r="O430" s="3"/>
    </row>
    <row r="431" customFormat="false" ht="15" hidden="false" customHeight="false" outlineLevel="0" collapsed="false">
      <c r="A431" s="2"/>
      <c r="B431" s="3"/>
      <c r="C431" s="3"/>
      <c r="D431" s="3"/>
      <c r="E431" s="3"/>
      <c r="F431" s="4"/>
      <c r="G431" s="4"/>
      <c r="H431" s="4"/>
      <c r="I431" s="4"/>
      <c r="J431" s="4"/>
      <c r="K431" s="5" t="str">
        <f aca="false">IF(OR(F431="",H431="",I431=""),"",IF(D431="Long",(H431-F431)/F431*I431,(F431-H431)/F431*I431))</f>
        <v/>
      </c>
      <c r="L431" s="6" t="str">
        <f aca="false">IF(OR(K431="",J431="",J431=0),"",K431/J431)</f>
        <v/>
      </c>
      <c r="M431" s="3"/>
      <c r="N431" s="3"/>
      <c r="O431" s="3"/>
    </row>
    <row r="432" customFormat="false" ht="15" hidden="false" customHeight="false" outlineLevel="0" collapsed="false">
      <c r="A432" s="2"/>
      <c r="B432" s="3"/>
      <c r="C432" s="3"/>
      <c r="D432" s="3"/>
      <c r="E432" s="3"/>
      <c r="F432" s="4"/>
      <c r="G432" s="4"/>
      <c r="H432" s="4"/>
      <c r="I432" s="4"/>
      <c r="J432" s="4"/>
      <c r="K432" s="5" t="str">
        <f aca="false">IF(OR(F432="",H432="",I432=""),"",IF(D432="Long",(H432-F432)/F432*I432,(F432-H432)/F432*I432))</f>
        <v/>
      </c>
      <c r="L432" s="6" t="str">
        <f aca="false">IF(OR(K432="",J432="",J432=0),"",K432/J432)</f>
        <v/>
      </c>
      <c r="M432" s="3"/>
      <c r="N432" s="3"/>
      <c r="O432" s="3"/>
    </row>
    <row r="433" customFormat="false" ht="15" hidden="false" customHeight="false" outlineLevel="0" collapsed="false">
      <c r="A433" s="2"/>
      <c r="B433" s="3"/>
      <c r="C433" s="3"/>
      <c r="D433" s="3"/>
      <c r="E433" s="3"/>
      <c r="F433" s="4"/>
      <c r="G433" s="4"/>
      <c r="H433" s="4"/>
      <c r="I433" s="4"/>
      <c r="J433" s="4"/>
      <c r="K433" s="5" t="str">
        <f aca="false">IF(OR(F433="",H433="",I433=""),"",IF(D433="Long",(H433-F433)/F433*I433,(F433-H433)/F433*I433))</f>
        <v/>
      </c>
      <c r="L433" s="6" t="str">
        <f aca="false">IF(OR(K433="",J433="",J433=0),"",K433/J433)</f>
        <v/>
      </c>
      <c r="M433" s="3"/>
      <c r="N433" s="3"/>
      <c r="O433" s="3"/>
    </row>
    <row r="434" customFormat="false" ht="15" hidden="false" customHeight="false" outlineLevel="0" collapsed="false">
      <c r="A434" s="2"/>
      <c r="B434" s="3"/>
      <c r="C434" s="3"/>
      <c r="D434" s="3"/>
      <c r="E434" s="3"/>
      <c r="F434" s="4"/>
      <c r="G434" s="4"/>
      <c r="H434" s="4"/>
      <c r="I434" s="4"/>
      <c r="J434" s="4"/>
      <c r="K434" s="5" t="str">
        <f aca="false">IF(OR(F434="",H434="",I434=""),"",IF(D434="Long",(H434-F434)/F434*I434,(F434-H434)/F434*I434))</f>
        <v/>
      </c>
      <c r="L434" s="6" t="str">
        <f aca="false">IF(OR(K434="",J434="",J434=0),"",K434/J434)</f>
        <v/>
      </c>
      <c r="M434" s="3"/>
      <c r="N434" s="3"/>
      <c r="O434" s="3"/>
    </row>
    <row r="435" customFormat="false" ht="15" hidden="false" customHeight="false" outlineLevel="0" collapsed="false">
      <c r="A435" s="2"/>
      <c r="B435" s="3"/>
      <c r="C435" s="3"/>
      <c r="D435" s="3"/>
      <c r="E435" s="3"/>
      <c r="F435" s="4"/>
      <c r="G435" s="4"/>
      <c r="H435" s="4"/>
      <c r="I435" s="4"/>
      <c r="J435" s="4"/>
      <c r="K435" s="5" t="str">
        <f aca="false">IF(OR(F435="",H435="",I435=""),"",IF(D435="Long",(H435-F435)/F435*I435,(F435-H435)/F435*I435))</f>
        <v/>
      </c>
      <c r="L435" s="6" t="str">
        <f aca="false">IF(OR(K435="",J435="",J435=0),"",K435/J435)</f>
        <v/>
      </c>
      <c r="M435" s="3"/>
      <c r="N435" s="3"/>
      <c r="O435" s="3"/>
    </row>
    <row r="436" customFormat="false" ht="15" hidden="false" customHeight="false" outlineLevel="0" collapsed="false">
      <c r="A436" s="2"/>
      <c r="B436" s="3"/>
      <c r="C436" s="3"/>
      <c r="D436" s="3"/>
      <c r="E436" s="3"/>
      <c r="F436" s="4"/>
      <c r="G436" s="4"/>
      <c r="H436" s="4"/>
      <c r="I436" s="4"/>
      <c r="J436" s="4"/>
      <c r="K436" s="5" t="str">
        <f aca="false">IF(OR(F436="",H436="",I436=""),"",IF(D436="Long",(H436-F436)/F436*I436,(F436-H436)/F436*I436))</f>
        <v/>
      </c>
      <c r="L436" s="6" t="str">
        <f aca="false">IF(OR(K436="",J436="",J436=0),"",K436/J436)</f>
        <v/>
      </c>
      <c r="M436" s="3"/>
      <c r="N436" s="3"/>
      <c r="O436" s="3"/>
    </row>
    <row r="437" customFormat="false" ht="15" hidden="false" customHeight="false" outlineLevel="0" collapsed="false">
      <c r="A437" s="2"/>
      <c r="B437" s="3"/>
      <c r="C437" s="3"/>
      <c r="D437" s="3"/>
      <c r="E437" s="3"/>
      <c r="F437" s="4"/>
      <c r="G437" s="4"/>
      <c r="H437" s="4"/>
      <c r="I437" s="4"/>
      <c r="J437" s="4"/>
      <c r="K437" s="5" t="str">
        <f aca="false">IF(OR(F437="",H437="",I437=""),"",IF(D437="Long",(H437-F437)/F437*I437,(F437-H437)/F437*I437))</f>
        <v/>
      </c>
      <c r="L437" s="6" t="str">
        <f aca="false">IF(OR(K437="",J437="",J437=0),"",K437/J437)</f>
        <v/>
      </c>
      <c r="M437" s="3"/>
      <c r="N437" s="3"/>
      <c r="O437" s="3"/>
    </row>
    <row r="438" customFormat="false" ht="15" hidden="false" customHeight="false" outlineLevel="0" collapsed="false">
      <c r="A438" s="2"/>
      <c r="B438" s="3"/>
      <c r="C438" s="3"/>
      <c r="D438" s="3"/>
      <c r="E438" s="3"/>
      <c r="F438" s="4"/>
      <c r="G438" s="4"/>
      <c r="H438" s="4"/>
      <c r="I438" s="4"/>
      <c r="J438" s="4"/>
      <c r="K438" s="5" t="str">
        <f aca="false">IF(OR(F438="",H438="",I438=""),"",IF(D438="Long",(H438-F438)/F438*I438,(F438-H438)/F438*I438))</f>
        <v/>
      </c>
      <c r="L438" s="6" t="str">
        <f aca="false">IF(OR(K438="",J438="",J438=0),"",K438/J438)</f>
        <v/>
      </c>
      <c r="M438" s="3"/>
      <c r="N438" s="3"/>
      <c r="O438" s="3"/>
    </row>
    <row r="439" customFormat="false" ht="15" hidden="false" customHeight="false" outlineLevel="0" collapsed="false">
      <c r="A439" s="2"/>
      <c r="B439" s="3"/>
      <c r="C439" s="3"/>
      <c r="D439" s="3"/>
      <c r="E439" s="3"/>
      <c r="F439" s="4"/>
      <c r="G439" s="4"/>
      <c r="H439" s="4"/>
      <c r="I439" s="4"/>
      <c r="J439" s="4"/>
      <c r="K439" s="5" t="str">
        <f aca="false">IF(OR(F439="",H439="",I439=""),"",IF(D439="Long",(H439-F439)/F439*I439,(F439-H439)/F439*I439))</f>
        <v/>
      </c>
      <c r="L439" s="6" t="str">
        <f aca="false">IF(OR(K439="",J439="",J439=0),"",K439/J439)</f>
        <v/>
      </c>
      <c r="M439" s="3"/>
      <c r="N439" s="3"/>
      <c r="O439" s="3"/>
    </row>
    <row r="440" customFormat="false" ht="15" hidden="false" customHeight="false" outlineLevel="0" collapsed="false">
      <c r="A440" s="2"/>
      <c r="B440" s="3"/>
      <c r="C440" s="3"/>
      <c r="D440" s="3"/>
      <c r="E440" s="3"/>
      <c r="F440" s="4"/>
      <c r="G440" s="4"/>
      <c r="H440" s="4"/>
      <c r="I440" s="4"/>
      <c r="J440" s="4"/>
      <c r="K440" s="5" t="str">
        <f aca="false">IF(OR(F440="",H440="",I440=""),"",IF(D440="Long",(H440-F440)/F440*I440,(F440-H440)/F440*I440))</f>
        <v/>
      </c>
      <c r="L440" s="6" t="str">
        <f aca="false">IF(OR(K440="",J440="",J440=0),"",K440/J440)</f>
        <v/>
      </c>
      <c r="M440" s="3"/>
      <c r="N440" s="3"/>
      <c r="O440" s="3"/>
    </row>
    <row r="441" customFormat="false" ht="15" hidden="false" customHeight="false" outlineLevel="0" collapsed="false">
      <c r="A441" s="2"/>
      <c r="B441" s="3"/>
      <c r="C441" s="3"/>
      <c r="D441" s="3"/>
      <c r="E441" s="3"/>
      <c r="F441" s="4"/>
      <c r="G441" s="4"/>
      <c r="H441" s="4"/>
      <c r="I441" s="4"/>
      <c r="J441" s="4"/>
      <c r="K441" s="5" t="str">
        <f aca="false">IF(OR(F441="",H441="",I441=""),"",IF(D441="Long",(H441-F441)/F441*I441,(F441-H441)/F441*I441))</f>
        <v/>
      </c>
      <c r="L441" s="6" t="str">
        <f aca="false">IF(OR(K441="",J441="",J441=0),"",K441/J441)</f>
        <v/>
      </c>
      <c r="M441" s="3"/>
      <c r="N441" s="3"/>
      <c r="O441" s="3"/>
    </row>
    <row r="442" customFormat="false" ht="15" hidden="false" customHeight="false" outlineLevel="0" collapsed="false">
      <c r="A442" s="2"/>
      <c r="B442" s="3"/>
      <c r="C442" s="3"/>
      <c r="D442" s="3"/>
      <c r="E442" s="3"/>
      <c r="F442" s="4"/>
      <c r="G442" s="4"/>
      <c r="H442" s="4"/>
      <c r="I442" s="4"/>
      <c r="J442" s="4"/>
      <c r="K442" s="5" t="str">
        <f aca="false">IF(OR(F442="",H442="",I442=""),"",IF(D442="Long",(H442-F442)/F442*I442,(F442-H442)/F442*I442))</f>
        <v/>
      </c>
      <c r="L442" s="6" t="str">
        <f aca="false">IF(OR(K442="",J442="",J442=0),"",K442/J442)</f>
        <v/>
      </c>
      <c r="M442" s="3"/>
      <c r="N442" s="3"/>
      <c r="O442" s="3"/>
    </row>
    <row r="443" customFormat="false" ht="15" hidden="false" customHeight="false" outlineLevel="0" collapsed="false">
      <c r="A443" s="2"/>
      <c r="B443" s="3"/>
      <c r="C443" s="3"/>
      <c r="D443" s="3"/>
      <c r="E443" s="3"/>
      <c r="F443" s="4"/>
      <c r="G443" s="4"/>
      <c r="H443" s="4"/>
      <c r="I443" s="4"/>
      <c r="J443" s="4"/>
      <c r="K443" s="5" t="str">
        <f aca="false">IF(OR(F443="",H443="",I443=""),"",IF(D443="Long",(H443-F443)/F443*I443,(F443-H443)/F443*I443))</f>
        <v/>
      </c>
      <c r="L443" s="6" t="str">
        <f aca="false">IF(OR(K443="",J443="",J443=0),"",K443/J443)</f>
        <v/>
      </c>
      <c r="M443" s="3"/>
      <c r="N443" s="3"/>
      <c r="O443" s="3"/>
    </row>
    <row r="444" customFormat="false" ht="15" hidden="false" customHeight="false" outlineLevel="0" collapsed="false">
      <c r="A444" s="2"/>
      <c r="B444" s="3"/>
      <c r="C444" s="3"/>
      <c r="D444" s="3"/>
      <c r="E444" s="3"/>
      <c r="F444" s="4"/>
      <c r="G444" s="4"/>
      <c r="H444" s="4"/>
      <c r="I444" s="4"/>
      <c r="J444" s="4"/>
      <c r="K444" s="5" t="str">
        <f aca="false">IF(OR(F444="",H444="",I444=""),"",IF(D444="Long",(H444-F444)/F444*I444,(F444-H444)/F444*I444))</f>
        <v/>
      </c>
      <c r="L444" s="6" t="str">
        <f aca="false">IF(OR(K444="",J444="",J444=0),"",K444/J444)</f>
        <v/>
      </c>
      <c r="M444" s="3"/>
      <c r="N444" s="3"/>
      <c r="O444" s="3"/>
    </row>
    <row r="445" customFormat="false" ht="15" hidden="false" customHeight="false" outlineLevel="0" collapsed="false">
      <c r="A445" s="2"/>
      <c r="B445" s="3"/>
      <c r="C445" s="3"/>
      <c r="D445" s="3"/>
      <c r="E445" s="3"/>
      <c r="F445" s="4"/>
      <c r="G445" s="4"/>
      <c r="H445" s="4"/>
      <c r="I445" s="4"/>
      <c r="J445" s="4"/>
      <c r="K445" s="5" t="str">
        <f aca="false">IF(OR(F445="",H445="",I445=""),"",IF(D445="Long",(H445-F445)/F445*I445,(F445-H445)/F445*I445))</f>
        <v/>
      </c>
      <c r="L445" s="6" t="str">
        <f aca="false">IF(OR(K445="",J445="",J445=0),"",K445/J445)</f>
        <v/>
      </c>
      <c r="M445" s="3"/>
      <c r="N445" s="3"/>
      <c r="O445" s="3"/>
    </row>
    <row r="446" customFormat="false" ht="15" hidden="false" customHeight="false" outlineLevel="0" collapsed="false">
      <c r="A446" s="2"/>
      <c r="B446" s="3"/>
      <c r="C446" s="3"/>
      <c r="D446" s="3"/>
      <c r="E446" s="3"/>
      <c r="F446" s="4"/>
      <c r="G446" s="4"/>
      <c r="H446" s="4"/>
      <c r="I446" s="4"/>
      <c r="J446" s="4"/>
      <c r="K446" s="5" t="str">
        <f aca="false">IF(OR(F446="",H446="",I446=""),"",IF(D446="Long",(H446-F446)/F446*I446,(F446-H446)/F446*I446))</f>
        <v/>
      </c>
      <c r="L446" s="6" t="str">
        <f aca="false">IF(OR(K446="",J446="",J446=0),"",K446/J446)</f>
        <v/>
      </c>
      <c r="M446" s="3"/>
      <c r="N446" s="3"/>
      <c r="O446" s="3"/>
    </row>
    <row r="447" customFormat="false" ht="15" hidden="false" customHeight="false" outlineLevel="0" collapsed="false">
      <c r="A447" s="2"/>
      <c r="B447" s="3"/>
      <c r="C447" s="3"/>
      <c r="D447" s="3"/>
      <c r="E447" s="3"/>
      <c r="F447" s="4"/>
      <c r="G447" s="4"/>
      <c r="H447" s="4"/>
      <c r="I447" s="4"/>
      <c r="J447" s="4"/>
      <c r="K447" s="5" t="str">
        <f aca="false">IF(OR(F447="",H447="",I447=""),"",IF(D447="Long",(H447-F447)/F447*I447,(F447-H447)/F447*I447))</f>
        <v/>
      </c>
      <c r="L447" s="6" t="str">
        <f aca="false">IF(OR(K447="",J447="",J447=0),"",K447/J447)</f>
        <v/>
      </c>
      <c r="M447" s="3"/>
      <c r="N447" s="3"/>
      <c r="O447" s="3"/>
    </row>
    <row r="448" customFormat="false" ht="15" hidden="false" customHeight="false" outlineLevel="0" collapsed="false">
      <c r="A448" s="2"/>
      <c r="B448" s="3"/>
      <c r="C448" s="3"/>
      <c r="D448" s="3"/>
      <c r="E448" s="3"/>
      <c r="F448" s="4"/>
      <c r="G448" s="4"/>
      <c r="H448" s="4"/>
      <c r="I448" s="4"/>
      <c r="J448" s="4"/>
      <c r="K448" s="5" t="str">
        <f aca="false">IF(OR(F448="",H448="",I448=""),"",IF(D448="Long",(H448-F448)/F448*I448,(F448-H448)/F448*I448))</f>
        <v/>
      </c>
      <c r="L448" s="6" t="str">
        <f aca="false">IF(OR(K448="",J448="",J448=0),"",K448/J448)</f>
        <v/>
      </c>
      <c r="M448" s="3"/>
      <c r="N448" s="3"/>
      <c r="O448" s="3"/>
    </row>
    <row r="449" customFormat="false" ht="15" hidden="false" customHeight="false" outlineLevel="0" collapsed="false">
      <c r="A449" s="2"/>
      <c r="B449" s="3"/>
      <c r="C449" s="3"/>
      <c r="D449" s="3"/>
      <c r="E449" s="3"/>
      <c r="F449" s="4"/>
      <c r="G449" s="4"/>
      <c r="H449" s="4"/>
      <c r="I449" s="4"/>
      <c r="J449" s="4"/>
      <c r="K449" s="5" t="str">
        <f aca="false">IF(OR(F449="",H449="",I449=""),"",IF(D449="Long",(H449-F449)/F449*I449,(F449-H449)/F449*I449))</f>
        <v/>
      </c>
      <c r="L449" s="6" t="str">
        <f aca="false">IF(OR(K449="",J449="",J449=0),"",K449/J449)</f>
        <v/>
      </c>
      <c r="M449" s="3"/>
      <c r="N449" s="3"/>
      <c r="O449" s="3"/>
    </row>
    <row r="450" customFormat="false" ht="15" hidden="false" customHeight="false" outlineLevel="0" collapsed="false">
      <c r="A450" s="2"/>
      <c r="B450" s="3"/>
      <c r="C450" s="3"/>
      <c r="D450" s="3"/>
      <c r="E450" s="3"/>
      <c r="F450" s="4"/>
      <c r="G450" s="4"/>
      <c r="H450" s="4"/>
      <c r="I450" s="4"/>
      <c r="J450" s="4"/>
      <c r="K450" s="5" t="str">
        <f aca="false">IF(OR(F450="",H450="",I450=""),"",IF(D450="Long",(H450-F450)/F450*I450,(F450-H450)/F450*I450))</f>
        <v/>
      </c>
      <c r="L450" s="6" t="str">
        <f aca="false">IF(OR(K450="",J450="",J450=0),"",K450/J450)</f>
        <v/>
      </c>
      <c r="M450" s="3"/>
      <c r="N450" s="3"/>
      <c r="O450" s="3"/>
    </row>
    <row r="451" customFormat="false" ht="15" hidden="false" customHeight="false" outlineLevel="0" collapsed="false">
      <c r="A451" s="2"/>
      <c r="B451" s="3"/>
      <c r="C451" s="3"/>
      <c r="D451" s="3"/>
      <c r="E451" s="3"/>
      <c r="F451" s="4"/>
      <c r="G451" s="4"/>
      <c r="H451" s="4"/>
      <c r="I451" s="4"/>
      <c r="J451" s="4"/>
      <c r="K451" s="5" t="str">
        <f aca="false">IF(OR(F451="",H451="",I451=""),"",IF(D451="Long",(H451-F451)/F451*I451,(F451-H451)/F451*I451))</f>
        <v/>
      </c>
      <c r="L451" s="6" t="str">
        <f aca="false">IF(OR(K451="",J451="",J451=0),"",K451/J451)</f>
        <v/>
      </c>
      <c r="M451" s="3"/>
      <c r="N451" s="3"/>
      <c r="O451" s="3"/>
    </row>
    <row r="452" customFormat="false" ht="15" hidden="false" customHeight="false" outlineLevel="0" collapsed="false">
      <c r="A452" s="2"/>
      <c r="B452" s="3"/>
      <c r="C452" s="3"/>
      <c r="D452" s="3"/>
      <c r="E452" s="3"/>
      <c r="F452" s="4"/>
      <c r="G452" s="4"/>
      <c r="H452" s="4"/>
      <c r="I452" s="4"/>
      <c r="J452" s="4"/>
      <c r="K452" s="5" t="str">
        <f aca="false">IF(OR(F452="",H452="",I452=""),"",IF(D452="Long",(H452-F452)/F452*I452,(F452-H452)/F452*I452))</f>
        <v/>
      </c>
      <c r="L452" s="6" t="str">
        <f aca="false">IF(OR(K452="",J452="",J452=0),"",K452/J452)</f>
        <v/>
      </c>
      <c r="M452" s="3"/>
      <c r="N452" s="3"/>
      <c r="O452" s="3"/>
    </row>
    <row r="453" customFormat="false" ht="15" hidden="false" customHeight="false" outlineLevel="0" collapsed="false">
      <c r="A453" s="2"/>
      <c r="B453" s="3"/>
      <c r="C453" s="3"/>
      <c r="D453" s="3"/>
      <c r="E453" s="3"/>
      <c r="F453" s="4"/>
      <c r="G453" s="4"/>
      <c r="H453" s="4"/>
      <c r="I453" s="4"/>
      <c r="J453" s="4"/>
      <c r="K453" s="5" t="str">
        <f aca="false">IF(OR(F453="",H453="",I453=""),"",IF(D453="Long",(H453-F453)/F453*I453,(F453-H453)/F453*I453))</f>
        <v/>
      </c>
      <c r="L453" s="6" t="str">
        <f aca="false">IF(OR(K453="",J453="",J453=0),"",K453/J453)</f>
        <v/>
      </c>
      <c r="M453" s="3"/>
      <c r="N453" s="3"/>
      <c r="O453" s="3"/>
    </row>
    <row r="454" customFormat="false" ht="15" hidden="false" customHeight="false" outlineLevel="0" collapsed="false">
      <c r="A454" s="2"/>
      <c r="B454" s="3"/>
      <c r="C454" s="3"/>
      <c r="D454" s="3"/>
      <c r="E454" s="3"/>
      <c r="F454" s="4"/>
      <c r="G454" s="4"/>
      <c r="H454" s="4"/>
      <c r="I454" s="4"/>
      <c r="J454" s="4"/>
      <c r="K454" s="5" t="str">
        <f aca="false">IF(OR(F454="",H454="",I454=""),"",IF(D454="Long",(H454-F454)/F454*I454,(F454-H454)/F454*I454))</f>
        <v/>
      </c>
      <c r="L454" s="6" t="str">
        <f aca="false">IF(OR(K454="",J454="",J454=0),"",K454/J454)</f>
        <v/>
      </c>
      <c r="M454" s="3"/>
      <c r="N454" s="3"/>
      <c r="O454" s="3"/>
    </row>
    <row r="455" customFormat="false" ht="15" hidden="false" customHeight="false" outlineLevel="0" collapsed="false">
      <c r="A455" s="2"/>
      <c r="B455" s="3"/>
      <c r="C455" s="3"/>
      <c r="D455" s="3"/>
      <c r="E455" s="3"/>
      <c r="F455" s="4"/>
      <c r="G455" s="4"/>
      <c r="H455" s="4"/>
      <c r="I455" s="4"/>
      <c r="J455" s="4"/>
      <c r="K455" s="5" t="str">
        <f aca="false">IF(OR(F455="",H455="",I455=""),"",IF(D455="Long",(H455-F455)/F455*I455,(F455-H455)/F455*I455))</f>
        <v/>
      </c>
      <c r="L455" s="6" t="str">
        <f aca="false">IF(OR(K455="",J455="",J455=0),"",K455/J455)</f>
        <v/>
      </c>
      <c r="M455" s="3"/>
      <c r="N455" s="3"/>
      <c r="O455" s="3"/>
    </row>
    <row r="456" customFormat="false" ht="15" hidden="false" customHeight="false" outlineLevel="0" collapsed="false">
      <c r="A456" s="2"/>
      <c r="B456" s="3"/>
      <c r="C456" s="3"/>
      <c r="D456" s="3"/>
      <c r="E456" s="3"/>
      <c r="F456" s="4"/>
      <c r="G456" s="4"/>
      <c r="H456" s="4"/>
      <c r="I456" s="4"/>
      <c r="J456" s="4"/>
      <c r="K456" s="5" t="str">
        <f aca="false">IF(OR(F456="",H456="",I456=""),"",IF(D456="Long",(H456-F456)/F456*I456,(F456-H456)/F456*I456))</f>
        <v/>
      </c>
      <c r="L456" s="6" t="str">
        <f aca="false">IF(OR(K456="",J456="",J456=0),"",K456/J456)</f>
        <v/>
      </c>
      <c r="M456" s="3"/>
      <c r="N456" s="3"/>
      <c r="O456" s="3"/>
    </row>
    <row r="457" customFormat="false" ht="15" hidden="false" customHeight="false" outlineLevel="0" collapsed="false">
      <c r="A457" s="2"/>
      <c r="B457" s="3"/>
      <c r="C457" s="3"/>
      <c r="D457" s="3"/>
      <c r="E457" s="3"/>
      <c r="F457" s="4"/>
      <c r="G457" s="4"/>
      <c r="H457" s="4"/>
      <c r="I457" s="4"/>
      <c r="J457" s="4"/>
      <c r="K457" s="5" t="str">
        <f aca="false">IF(OR(F457="",H457="",I457=""),"",IF(D457="Long",(H457-F457)/F457*I457,(F457-H457)/F457*I457))</f>
        <v/>
      </c>
      <c r="L457" s="6" t="str">
        <f aca="false">IF(OR(K457="",J457="",J457=0),"",K457/J457)</f>
        <v/>
      </c>
      <c r="M457" s="3"/>
      <c r="N457" s="3"/>
      <c r="O457" s="3"/>
    </row>
    <row r="458" customFormat="false" ht="15" hidden="false" customHeight="false" outlineLevel="0" collapsed="false">
      <c r="A458" s="2"/>
      <c r="B458" s="3"/>
      <c r="C458" s="3"/>
      <c r="D458" s="3"/>
      <c r="E458" s="3"/>
      <c r="F458" s="4"/>
      <c r="G458" s="4"/>
      <c r="H458" s="4"/>
      <c r="I458" s="4"/>
      <c r="J458" s="4"/>
      <c r="K458" s="5" t="str">
        <f aca="false">IF(OR(F458="",H458="",I458=""),"",IF(D458="Long",(H458-F458)/F458*I458,(F458-H458)/F458*I458))</f>
        <v/>
      </c>
      <c r="L458" s="6" t="str">
        <f aca="false">IF(OR(K458="",J458="",J458=0),"",K458/J458)</f>
        <v/>
      </c>
      <c r="M458" s="3"/>
      <c r="N458" s="3"/>
      <c r="O458" s="3"/>
    </row>
    <row r="459" customFormat="false" ht="15" hidden="false" customHeight="false" outlineLevel="0" collapsed="false">
      <c r="A459" s="2"/>
      <c r="B459" s="3"/>
      <c r="C459" s="3"/>
      <c r="D459" s="3"/>
      <c r="E459" s="3"/>
      <c r="F459" s="4"/>
      <c r="G459" s="4"/>
      <c r="H459" s="4"/>
      <c r="I459" s="4"/>
      <c r="J459" s="4"/>
      <c r="K459" s="5" t="str">
        <f aca="false">IF(OR(F459="",H459="",I459=""),"",IF(D459="Long",(H459-F459)/F459*I459,(F459-H459)/F459*I459))</f>
        <v/>
      </c>
      <c r="L459" s="6" t="str">
        <f aca="false">IF(OR(K459="",J459="",J459=0),"",K459/J459)</f>
        <v/>
      </c>
      <c r="M459" s="3"/>
      <c r="N459" s="3"/>
      <c r="O459" s="3"/>
    </row>
    <row r="460" customFormat="false" ht="15" hidden="false" customHeight="false" outlineLevel="0" collapsed="false">
      <c r="A460" s="2"/>
      <c r="B460" s="3"/>
      <c r="C460" s="3"/>
      <c r="D460" s="3"/>
      <c r="E460" s="3"/>
      <c r="F460" s="4"/>
      <c r="G460" s="4"/>
      <c r="H460" s="4"/>
      <c r="I460" s="4"/>
      <c r="J460" s="4"/>
      <c r="K460" s="5" t="str">
        <f aca="false">IF(OR(F460="",H460="",I460=""),"",IF(D460="Long",(H460-F460)/F460*I460,(F460-H460)/F460*I460))</f>
        <v/>
      </c>
      <c r="L460" s="6" t="str">
        <f aca="false">IF(OR(K460="",J460="",J460=0),"",K460/J460)</f>
        <v/>
      </c>
      <c r="M460" s="3"/>
      <c r="N460" s="3"/>
      <c r="O460" s="3"/>
    </row>
    <row r="461" customFormat="false" ht="15" hidden="false" customHeight="false" outlineLevel="0" collapsed="false">
      <c r="A461" s="2"/>
      <c r="B461" s="3"/>
      <c r="C461" s="3"/>
      <c r="D461" s="3"/>
      <c r="E461" s="3"/>
      <c r="F461" s="4"/>
      <c r="G461" s="4"/>
      <c r="H461" s="4"/>
      <c r="I461" s="4"/>
      <c r="J461" s="4"/>
      <c r="K461" s="5" t="str">
        <f aca="false">IF(OR(F461="",H461="",I461=""),"",IF(D461="Long",(H461-F461)/F461*I461,(F461-H461)/F461*I461))</f>
        <v/>
      </c>
      <c r="L461" s="6" t="str">
        <f aca="false">IF(OR(K461="",J461="",J461=0),"",K461/J461)</f>
        <v/>
      </c>
      <c r="M461" s="3"/>
      <c r="N461" s="3"/>
      <c r="O461" s="3"/>
    </row>
    <row r="462" customFormat="false" ht="15" hidden="false" customHeight="false" outlineLevel="0" collapsed="false">
      <c r="A462" s="2"/>
      <c r="B462" s="3"/>
      <c r="C462" s="3"/>
      <c r="D462" s="3"/>
      <c r="E462" s="3"/>
      <c r="F462" s="4"/>
      <c r="G462" s="4"/>
      <c r="H462" s="4"/>
      <c r="I462" s="4"/>
      <c r="J462" s="4"/>
      <c r="K462" s="5" t="str">
        <f aca="false">IF(OR(F462="",H462="",I462=""),"",IF(D462="Long",(H462-F462)/F462*I462,(F462-H462)/F462*I462))</f>
        <v/>
      </c>
      <c r="L462" s="6" t="str">
        <f aca="false">IF(OR(K462="",J462="",J462=0),"",K462/J462)</f>
        <v/>
      </c>
      <c r="M462" s="3"/>
      <c r="N462" s="3"/>
      <c r="O462" s="3"/>
    </row>
    <row r="463" customFormat="false" ht="15" hidden="false" customHeight="false" outlineLevel="0" collapsed="false">
      <c r="A463" s="2"/>
      <c r="B463" s="3"/>
      <c r="C463" s="3"/>
      <c r="D463" s="3"/>
      <c r="E463" s="3"/>
      <c r="F463" s="4"/>
      <c r="G463" s="4"/>
      <c r="H463" s="4"/>
      <c r="I463" s="4"/>
      <c r="J463" s="4"/>
      <c r="K463" s="5" t="str">
        <f aca="false">IF(OR(F463="",H463="",I463=""),"",IF(D463="Long",(H463-F463)/F463*I463,(F463-H463)/F463*I463))</f>
        <v/>
      </c>
      <c r="L463" s="6" t="str">
        <f aca="false">IF(OR(K463="",J463="",J463=0),"",K463/J463)</f>
        <v/>
      </c>
      <c r="M463" s="3"/>
      <c r="N463" s="3"/>
      <c r="O463" s="3"/>
    </row>
    <row r="464" customFormat="false" ht="15" hidden="false" customHeight="false" outlineLevel="0" collapsed="false">
      <c r="A464" s="2"/>
      <c r="B464" s="3"/>
      <c r="C464" s="3"/>
      <c r="D464" s="3"/>
      <c r="E464" s="3"/>
      <c r="F464" s="4"/>
      <c r="G464" s="4"/>
      <c r="H464" s="4"/>
      <c r="I464" s="4"/>
      <c r="J464" s="4"/>
      <c r="K464" s="5" t="str">
        <f aca="false">IF(OR(F464="",H464="",I464=""),"",IF(D464="Long",(H464-F464)/F464*I464,(F464-H464)/F464*I464))</f>
        <v/>
      </c>
      <c r="L464" s="6" t="str">
        <f aca="false">IF(OR(K464="",J464="",J464=0),"",K464/J464)</f>
        <v/>
      </c>
      <c r="M464" s="3"/>
      <c r="N464" s="3"/>
      <c r="O464" s="3"/>
    </row>
    <row r="465" customFormat="false" ht="15" hidden="false" customHeight="false" outlineLevel="0" collapsed="false">
      <c r="A465" s="2"/>
      <c r="B465" s="3"/>
      <c r="C465" s="3"/>
      <c r="D465" s="3"/>
      <c r="E465" s="3"/>
      <c r="F465" s="4"/>
      <c r="G465" s="4"/>
      <c r="H465" s="4"/>
      <c r="I465" s="4"/>
      <c r="J465" s="4"/>
      <c r="K465" s="5" t="str">
        <f aca="false">IF(OR(F465="",H465="",I465=""),"",IF(D465="Long",(H465-F465)/F465*I465,(F465-H465)/F465*I465))</f>
        <v/>
      </c>
      <c r="L465" s="6" t="str">
        <f aca="false">IF(OR(K465="",J465="",J465=0),"",K465/J465)</f>
        <v/>
      </c>
      <c r="M465" s="3"/>
      <c r="N465" s="3"/>
      <c r="O465" s="3"/>
    </row>
    <row r="466" customFormat="false" ht="15" hidden="false" customHeight="false" outlineLevel="0" collapsed="false">
      <c r="A466" s="2"/>
      <c r="B466" s="3"/>
      <c r="C466" s="3"/>
      <c r="D466" s="3"/>
      <c r="E466" s="3"/>
      <c r="F466" s="4"/>
      <c r="G466" s="4"/>
      <c r="H466" s="4"/>
      <c r="I466" s="4"/>
      <c r="J466" s="4"/>
      <c r="K466" s="5" t="str">
        <f aca="false">IF(OR(F466="",H466="",I466=""),"",IF(D466="Long",(H466-F466)/F466*I466,(F466-H466)/F466*I466))</f>
        <v/>
      </c>
      <c r="L466" s="6" t="str">
        <f aca="false">IF(OR(K466="",J466="",J466=0),"",K466/J466)</f>
        <v/>
      </c>
      <c r="M466" s="3"/>
      <c r="N466" s="3"/>
      <c r="O466" s="3"/>
    </row>
    <row r="467" customFormat="false" ht="15" hidden="false" customHeight="false" outlineLevel="0" collapsed="false">
      <c r="A467" s="2"/>
      <c r="B467" s="3"/>
      <c r="C467" s="3"/>
      <c r="D467" s="3"/>
      <c r="E467" s="3"/>
      <c r="F467" s="4"/>
      <c r="G467" s="4"/>
      <c r="H467" s="4"/>
      <c r="I467" s="4"/>
      <c r="J467" s="4"/>
      <c r="K467" s="5" t="str">
        <f aca="false">IF(OR(F467="",H467="",I467=""),"",IF(D467="Long",(H467-F467)/F467*I467,(F467-H467)/F467*I467))</f>
        <v/>
      </c>
      <c r="L467" s="6" t="str">
        <f aca="false">IF(OR(K467="",J467="",J467=0),"",K467/J467)</f>
        <v/>
      </c>
      <c r="M467" s="3"/>
      <c r="N467" s="3"/>
      <c r="O467" s="3"/>
    </row>
    <row r="468" customFormat="false" ht="15" hidden="false" customHeight="false" outlineLevel="0" collapsed="false">
      <c r="A468" s="2"/>
      <c r="B468" s="3"/>
      <c r="C468" s="3"/>
      <c r="D468" s="3"/>
      <c r="E468" s="3"/>
      <c r="F468" s="4"/>
      <c r="G468" s="4"/>
      <c r="H468" s="4"/>
      <c r="I468" s="4"/>
      <c r="J468" s="4"/>
      <c r="K468" s="5" t="str">
        <f aca="false">IF(OR(F468="",H468="",I468=""),"",IF(D468="Long",(H468-F468)/F468*I468,(F468-H468)/F468*I468))</f>
        <v/>
      </c>
      <c r="L468" s="6" t="str">
        <f aca="false">IF(OR(K468="",J468="",J468=0),"",K468/J468)</f>
        <v/>
      </c>
      <c r="M468" s="3"/>
      <c r="N468" s="3"/>
      <c r="O468" s="3"/>
    </row>
    <row r="469" customFormat="false" ht="15" hidden="false" customHeight="false" outlineLevel="0" collapsed="false">
      <c r="A469" s="2"/>
      <c r="B469" s="3"/>
      <c r="C469" s="3"/>
      <c r="D469" s="3"/>
      <c r="E469" s="3"/>
      <c r="F469" s="4"/>
      <c r="G469" s="4"/>
      <c r="H469" s="4"/>
      <c r="I469" s="4"/>
      <c r="J469" s="4"/>
      <c r="K469" s="5" t="str">
        <f aca="false">IF(OR(F469="",H469="",I469=""),"",IF(D469="Long",(H469-F469)/F469*I469,(F469-H469)/F469*I469))</f>
        <v/>
      </c>
      <c r="L469" s="6" t="str">
        <f aca="false">IF(OR(K469="",J469="",J469=0),"",K469/J469)</f>
        <v/>
      </c>
      <c r="M469" s="3"/>
      <c r="N469" s="3"/>
      <c r="O469" s="3"/>
    </row>
    <row r="470" customFormat="false" ht="15" hidden="false" customHeight="false" outlineLevel="0" collapsed="false">
      <c r="A470" s="2"/>
      <c r="B470" s="3"/>
      <c r="C470" s="3"/>
      <c r="D470" s="3"/>
      <c r="E470" s="3"/>
      <c r="F470" s="4"/>
      <c r="G470" s="4"/>
      <c r="H470" s="4"/>
      <c r="I470" s="4"/>
      <c r="J470" s="4"/>
      <c r="K470" s="5" t="str">
        <f aca="false">IF(OR(F470="",H470="",I470=""),"",IF(D470="Long",(H470-F470)/F470*I470,(F470-H470)/F470*I470))</f>
        <v/>
      </c>
      <c r="L470" s="6" t="str">
        <f aca="false">IF(OR(K470="",J470="",J470=0),"",K470/J470)</f>
        <v/>
      </c>
      <c r="M470" s="3"/>
      <c r="N470" s="3"/>
      <c r="O470" s="3"/>
    </row>
    <row r="471" customFormat="false" ht="15" hidden="false" customHeight="false" outlineLevel="0" collapsed="false">
      <c r="A471" s="2"/>
      <c r="B471" s="3"/>
      <c r="C471" s="3"/>
      <c r="D471" s="3"/>
      <c r="E471" s="3"/>
      <c r="F471" s="4"/>
      <c r="G471" s="4"/>
      <c r="H471" s="4"/>
      <c r="I471" s="4"/>
      <c r="J471" s="4"/>
      <c r="K471" s="5" t="str">
        <f aca="false">IF(OR(F471="",H471="",I471=""),"",IF(D471="Long",(H471-F471)/F471*I471,(F471-H471)/F471*I471))</f>
        <v/>
      </c>
      <c r="L471" s="6" t="str">
        <f aca="false">IF(OR(K471="",J471="",J471=0),"",K471/J471)</f>
        <v/>
      </c>
      <c r="M471" s="3"/>
      <c r="N471" s="3"/>
      <c r="O471" s="3"/>
    </row>
    <row r="472" customFormat="false" ht="15" hidden="false" customHeight="false" outlineLevel="0" collapsed="false">
      <c r="A472" s="2"/>
      <c r="B472" s="3"/>
      <c r="C472" s="3"/>
      <c r="D472" s="3"/>
      <c r="E472" s="3"/>
      <c r="F472" s="4"/>
      <c r="G472" s="4"/>
      <c r="H472" s="4"/>
      <c r="I472" s="4"/>
      <c r="J472" s="4"/>
      <c r="K472" s="5" t="str">
        <f aca="false">IF(OR(F472="",H472="",I472=""),"",IF(D472="Long",(H472-F472)/F472*I472,(F472-H472)/F472*I472))</f>
        <v/>
      </c>
      <c r="L472" s="6" t="str">
        <f aca="false">IF(OR(K472="",J472="",J472=0),"",K472/J472)</f>
        <v/>
      </c>
      <c r="M472" s="3"/>
      <c r="N472" s="3"/>
      <c r="O472" s="3"/>
    </row>
    <row r="473" customFormat="false" ht="15" hidden="false" customHeight="false" outlineLevel="0" collapsed="false">
      <c r="A473" s="2"/>
      <c r="B473" s="3"/>
      <c r="C473" s="3"/>
      <c r="D473" s="3"/>
      <c r="E473" s="3"/>
      <c r="F473" s="4"/>
      <c r="G473" s="4"/>
      <c r="H473" s="4"/>
      <c r="I473" s="4"/>
      <c r="J473" s="4"/>
      <c r="K473" s="5" t="str">
        <f aca="false">IF(OR(F473="",H473="",I473=""),"",IF(D473="Long",(H473-F473)/F473*I473,(F473-H473)/F473*I473))</f>
        <v/>
      </c>
      <c r="L473" s="6" t="str">
        <f aca="false">IF(OR(K473="",J473="",J473=0),"",K473/J473)</f>
        <v/>
      </c>
      <c r="M473" s="3"/>
      <c r="N473" s="3"/>
      <c r="O473" s="3"/>
    </row>
    <row r="474" customFormat="false" ht="15" hidden="false" customHeight="false" outlineLevel="0" collapsed="false">
      <c r="A474" s="2"/>
      <c r="B474" s="3"/>
      <c r="C474" s="3"/>
      <c r="D474" s="3"/>
      <c r="E474" s="3"/>
      <c r="F474" s="4"/>
      <c r="G474" s="4"/>
      <c r="H474" s="4"/>
      <c r="I474" s="4"/>
      <c r="J474" s="4"/>
      <c r="K474" s="5" t="str">
        <f aca="false">IF(OR(F474="",H474="",I474=""),"",IF(D474="Long",(H474-F474)/F474*I474,(F474-H474)/F474*I474))</f>
        <v/>
      </c>
      <c r="L474" s="6" t="str">
        <f aca="false">IF(OR(K474="",J474="",J474=0),"",K474/J474)</f>
        <v/>
      </c>
      <c r="M474" s="3"/>
      <c r="N474" s="3"/>
      <c r="O474" s="3"/>
    </row>
    <row r="475" customFormat="false" ht="15" hidden="false" customHeight="false" outlineLevel="0" collapsed="false">
      <c r="A475" s="2"/>
      <c r="B475" s="3"/>
      <c r="C475" s="3"/>
      <c r="D475" s="3"/>
      <c r="E475" s="3"/>
      <c r="F475" s="4"/>
      <c r="G475" s="4"/>
      <c r="H475" s="4"/>
      <c r="I475" s="4"/>
      <c r="J475" s="4"/>
      <c r="K475" s="5" t="str">
        <f aca="false">IF(OR(F475="",H475="",I475=""),"",IF(D475="Long",(H475-F475)/F475*I475,(F475-H475)/F475*I475))</f>
        <v/>
      </c>
      <c r="L475" s="6" t="str">
        <f aca="false">IF(OR(K475="",J475="",J475=0),"",K475/J475)</f>
        <v/>
      </c>
      <c r="M475" s="3"/>
      <c r="N475" s="3"/>
      <c r="O475" s="3"/>
    </row>
    <row r="476" customFormat="false" ht="15" hidden="false" customHeight="false" outlineLevel="0" collapsed="false">
      <c r="A476" s="2"/>
      <c r="B476" s="3"/>
      <c r="C476" s="3"/>
      <c r="D476" s="3"/>
      <c r="E476" s="3"/>
      <c r="F476" s="4"/>
      <c r="G476" s="4"/>
      <c r="H476" s="4"/>
      <c r="I476" s="4"/>
      <c r="J476" s="4"/>
      <c r="K476" s="5" t="str">
        <f aca="false">IF(OR(F476="",H476="",I476=""),"",IF(D476="Long",(H476-F476)/F476*I476,(F476-H476)/F476*I476))</f>
        <v/>
      </c>
      <c r="L476" s="6" t="str">
        <f aca="false">IF(OR(K476="",J476="",J476=0),"",K476/J476)</f>
        <v/>
      </c>
      <c r="M476" s="3"/>
      <c r="N476" s="3"/>
      <c r="O476" s="3"/>
    </row>
    <row r="477" customFormat="false" ht="15" hidden="false" customHeight="false" outlineLevel="0" collapsed="false">
      <c r="A477" s="2"/>
      <c r="B477" s="3"/>
      <c r="C477" s="3"/>
      <c r="D477" s="3"/>
      <c r="E477" s="3"/>
      <c r="F477" s="4"/>
      <c r="G477" s="4"/>
      <c r="H477" s="4"/>
      <c r="I477" s="4"/>
      <c r="J477" s="4"/>
      <c r="K477" s="5" t="str">
        <f aca="false">IF(OR(F477="",H477="",I477=""),"",IF(D477="Long",(H477-F477)/F477*I477,(F477-H477)/F477*I477))</f>
        <v/>
      </c>
      <c r="L477" s="6" t="str">
        <f aca="false">IF(OR(K477="",J477="",J477=0),"",K477/J477)</f>
        <v/>
      </c>
      <c r="M477" s="3"/>
      <c r="N477" s="3"/>
      <c r="O477" s="3"/>
    </row>
    <row r="478" customFormat="false" ht="15" hidden="false" customHeight="false" outlineLevel="0" collapsed="false">
      <c r="A478" s="2"/>
      <c r="B478" s="3"/>
      <c r="C478" s="3"/>
      <c r="D478" s="3"/>
      <c r="E478" s="3"/>
      <c r="F478" s="4"/>
      <c r="G478" s="4"/>
      <c r="H478" s="4"/>
      <c r="I478" s="4"/>
      <c r="J478" s="4"/>
      <c r="K478" s="5" t="str">
        <f aca="false">IF(OR(F478="",H478="",I478=""),"",IF(D478="Long",(H478-F478)/F478*I478,(F478-H478)/F478*I478))</f>
        <v/>
      </c>
      <c r="L478" s="6" t="str">
        <f aca="false">IF(OR(K478="",J478="",J478=0),"",K478/J478)</f>
        <v/>
      </c>
      <c r="M478" s="3"/>
      <c r="N478" s="3"/>
      <c r="O478" s="3"/>
    </row>
    <row r="479" customFormat="false" ht="15" hidden="false" customHeight="false" outlineLevel="0" collapsed="false">
      <c r="A479" s="2"/>
      <c r="B479" s="3"/>
      <c r="C479" s="3"/>
      <c r="D479" s="3"/>
      <c r="E479" s="3"/>
      <c r="F479" s="4"/>
      <c r="G479" s="4"/>
      <c r="H479" s="4"/>
      <c r="I479" s="4"/>
      <c r="J479" s="4"/>
      <c r="K479" s="5" t="str">
        <f aca="false">IF(OR(F479="",H479="",I479=""),"",IF(D479="Long",(H479-F479)/F479*I479,(F479-H479)/F479*I479))</f>
        <v/>
      </c>
      <c r="L479" s="6" t="str">
        <f aca="false">IF(OR(K479="",J479="",J479=0),"",K479/J479)</f>
        <v/>
      </c>
      <c r="M479" s="3"/>
      <c r="N479" s="3"/>
      <c r="O479" s="3"/>
    </row>
    <row r="480" customFormat="false" ht="15" hidden="false" customHeight="false" outlineLevel="0" collapsed="false">
      <c r="A480" s="2"/>
      <c r="B480" s="3"/>
      <c r="C480" s="3"/>
      <c r="D480" s="3"/>
      <c r="E480" s="3"/>
      <c r="F480" s="4"/>
      <c r="G480" s="4"/>
      <c r="H480" s="4"/>
      <c r="I480" s="4"/>
      <c r="J480" s="4"/>
      <c r="K480" s="5" t="str">
        <f aca="false">IF(OR(F480="",H480="",I480=""),"",IF(D480="Long",(H480-F480)/F480*I480,(F480-H480)/F480*I480))</f>
        <v/>
      </c>
      <c r="L480" s="6" t="str">
        <f aca="false">IF(OR(K480="",J480="",J480=0),"",K480/J480)</f>
        <v/>
      </c>
      <c r="M480" s="3"/>
      <c r="N480" s="3"/>
      <c r="O480" s="3"/>
    </row>
    <row r="481" customFormat="false" ht="15" hidden="false" customHeight="false" outlineLevel="0" collapsed="false">
      <c r="A481" s="2"/>
      <c r="B481" s="3"/>
      <c r="C481" s="3"/>
      <c r="D481" s="3"/>
      <c r="E481" s="3"/>
      <c r="F481" s="4"/>
      <c r="G481" s="4"/>
      <c r="H481" s="4"/>
      <c r="I481" s="4"/>
      <c r="J481" s="4"/>
      <c r="K481" s="5" t="str">
        <f aca="false">IF(OR(F481="",H481="",I481=""),"",IF(D481="Long",(H481-F481)/F481*I481,(F481-H481)/F481*I481))</f>
        <v/>
      </c>
      <c r="L481" s="6" t="str">
        <f aca="false">IF(OR(K481="",J481="",J481=0),"",K481/J481)</f>
        <v/>
      </c>
      <c r="M481" s="3"/>
      <c r="N481" s="3"/>
      <c r="O481" s="3"/>
    </row>
    <row r="482" customFormat="false" ht="15" hidden="false" customHeight="false" outlineLevel="0" collapsed="false">
      <c r="A482" s="2"/>
      <c r="B482" s="3"/>
      <c r="C482" s="3"/>
      <c r="D482" s="3"/>
      <c r="E482" s="3"/>
      <c r="F482" s="4"/>
      <c r="G482" s="4"/>
      <c r="H482" s="4"/>
      <c r="I482" s="4"/>
      <c r="J482" s="4"/>
      <c r="K482" s="5" t="str">
        <f aca="false">IF(OR(F482="",H482="",I482=""),"",IF(D482="Long",(H482-F482)/F482*I482,(F482-H482)/F482*I482))</f>
        <v/>
      </c>
      <c r="L482" s="6" t="str">
        <f aca="false">IF(OR(K482="",J482="",J482=0),"",K482/J482)</f>
        <v/>
      </c>
      <c r="M482" s="3"/>
      <c r="N482" s="3"/>
      <c r="O482" s="3"/>
    </row>
    <row r="483" customFormat="false" ht="15" hidden="false" customHeight="false" outlineLevel="0" collapsed="false">
      <c r="A483" s="2"/>
      <c r="B483" s="3"/>
      <c r="C483" s="3"/>
      <c r="D483" s="3"/>
      <c r="E483" s="3"/>
      <c r="F483" s="4"/>
      <c r="G483" s="4"/>
      <c r="H483" s="4"/>
      <c r="I483" s="4"/>
      <c r="J483" s="4"/>
      <c r="K483" s="5" t="str">
        <f aca="false">IF(OR(F483="",H483="",I483=""),"",IF(D483="Long",(H483-F483)/F483*I483,(F483-H483)/F483*I483))</f>
        <v/>
      </c>
      <c r="L483" s="6" t="str">
        <f aca="false">IF(OR(K483="",J483="",J483=0),"",K483/J483)</f>
        <v/>
      </c>
      <c r="M483" s="3"/>
      <c r="N483" s="3"/>
      <c r="O483" s="3"/>
    </row>
    <row r="484" customFormat="false" ht="15" hidden="false" customHeight="false" outlineLevel="0" collapsed="false">
      <c r="A484" s="2"/>
      <c r="B484" s="3"/>
      <c r="C484" s="3"/>
      <c r="D484" s="3"/>
      <c r="E484" s="3"/>
      <c r="F484" s="4"/>
      <c r="G484" s="4"/>
      <c r="H484" s="4"/>
      <c r="I484" s="4"/>
      <c r="J484" s="4"/>
      <c r="K484" s="5" t="str">
        <f aca="false">IF(OR(F484="",H484="",I484=""),"",IF(D484="Long",(H484-F484)/F484*I484,(F484-H484)/F484*I484))</f>
        <v/>
      </c>
      <c r="L484" s="6" t="str">
        <f aca="false">IF(OR(K484="",J484="",J484=0),"",K484/J484)</f>
        <v/>
      </c>
      <c r="M484" s="3"/>
      <c r="N484" s="3"/>
      <c r="O484" s="3"/>
    </row>
    <row r="485" customFormat="false" ht="15" hidden="false" customHeight="false" outlineLevel="0" collapsed="false">
      <c r="A485" s="2"/>
      <c r="B485" s="3"/>
      <c r="C485" s="3"/>
      <c r="D485" s="3"/>
      <c r="E485" s="3"/>
      <c r="F485" s="4"/>
      <c r="G485" s="4"/>
      <c r="H485" s="4"/>
      <c r="I485" s="4"/>
      <c r="J485" s="4"/>
      <c r="K485" s="5" t="str">
        <f aca="false">IF(OR(F485="",H485="",I485=""),"",IF(D485="Long",(H485-F485)/F485*I485,(F485-H485)/F485*I485))</f>
        <v/>
      </c>
      <c r="L485" s="6" t="str">
        <f aca="false">IF(OR(K485="",J485="",J485=0),"",K485/J485)</f>
        <v/>
      </c>
      <c r="M485" s="3"/>
      <c r="N485" s="3"/>
      <c r="O485" s="3"/>
    </row>
    <row r="486" customFormat="false" ht="15" hidden="false" customHeight="false" outlineLevel="0" collapsed="false">
      <c r="A486" s="2"/>
      <c r="B486" s="3"/>
      <c r="C486" s="3"/>
      <c r="D486" s="3"/>
      <c r="E486" s="3"/>
      <c r="F486" s="4"/>
      <c r="G486" s="4"/>
      <c r="H486" s="4"/>
      <c r="I486" s="4"/>
      <c r="J486" s="4"/>
      <c r="K486" s="5" t="str">
        <f aca="false">IF(OR(F486="",H486="",I486=""),"",IF(D486="Long",(H486-F486)/F486*I486,(F486-H486)/F486*I486))</f>
        <v/>
      </c>
      <c r="L486" s="6" t="str">
        <f aca="false">IF(OR(K486="",J486="",J486=0),"",K486/J486)</f>
        <v/>
      </c>
      <c r="M486" s="3"/>
      <c r="N486" s="3"/>
      <c r="O486" s="3"/>
    </row>
    <row r="487" customFormat="false" ht="15" hidden="false" customHeight="false" outlineLevel="0" collapsed="false">
      <c r="A487" s="2"/>
      <c r="B487" s="3"/>
      <c r="C487" s="3"/>
      <c r="D487" s="3"/>
      <c r="E487" s="3"/>
      <c r="F487" s="4"/>
      <c r="G487" s="4"/>
      <c r="H487" s="4"/>
      <c r="I487" s="4"/>
      <c r="J487" s="4"/>
      <c r="K487" s="5" t="str">
        <f aca="false">IF(OR(F487="",H487="",I487=""),"",IF(D487="Long",(H487-F487)/F487*I487,(F487-H487)/F487*I487))</f>
        <v/>
      </c>
      <c r="L487" s="6" t="str">
        <f aca="false">IF(OR(K487="",J487="",J487=0),"",K487/J487)</f>
        <v/>
      </c>
      <c r="M487" s="3"/>
      <c r="N487" s="3"/>
      <c r="O487" s="3"/>
    </row>
    <row r="488" customFormat="false" ht="15" hidden="false" customHeight="false" outlineLevel="0" collapsed="false">
      <c r="A488" s="2"/>
      <c r="B488" s="3"/>
      <c r="C488" s="3"/>
      <c r="D488" s="3"/>
      <c r="E488" s="3"/>
      <c r="F488" s="4"/>
      <c r="G488" s="4"/>
      <c r="H488" s="4"/>
      <c r="I488" s="4"/>
      <c r="J488" s="4"/>
      <c r="K488" s="5" t="str">
        <f aca="false">IF(OR(F488="",H488="",I488=""),"",IF(D488="Long",(H488-F488)/F488*I488,(F488-H488)/F488*I488))</f>
        <v/>
      </c>
      <c r="L488" s="6" t="str">
        <f aca="false">IF(OR(K488="",J488="",J488=0),"",K488/J488)</f>
        <v/>
      </c>
      <c r="M488" s="3"/>
      <c r="N488" s="3"/>
      <c r="O488" s="3"/>
    </row>
    <row r="489" customFormat="false" ht="15" hidden="false" customHeight="false" outlineLevel="0" collapsed="false">
      <c r="A489" s="2"/>
      <c r="B489" s="3"/>
      <c r="C489" s="3"/>
      <c r="D489" s="3"/>
      <c r="E489" s="3"/>
      <c r="F489" s="4"/>
      <c r="G489" s="4"/>
      <c r="H489" s="4"/>
      <c r="I489" s="4"/>
      <c r="J489" s="4"/>
      <c r="K489" s="5" t="str">
        <f aca="false">IF(OR(F489="",H489="",I489=""),"",IF(D489="Long",(H489-F489)/F489*I489,(F489-H489)/F489*I489))</f>
        <v/>
      </c>
      <c r="L489" s="6" t="str">
        <f aca="false">IF(OR(K489="",J489="",J489=0),"",K489/J489)</f>
        <v/>
      </c>
      <c r="M489" s="3"/>
      <c r="N489" s="3"/>
      <c r="O489" s="3"/>
    </row>
    <row r="490" customFormat="false" ht="15" hidden="false" customHeight="false" outlineLevel="0" collapsed="false">
      <c r="A490" s="2"/>
      <c r="B490" s="3"/>
      <c r="C490" s="3"/>
      <c r="D490" s="3"/>
      <c r="E490" s="3"/>
      <c r="F490" s="4"/>
      <c r="G490" s="4"/>
      <c r="H490" s="4"/>
      <c r="I490" s="4"/>
      <c r="J490" s="4"/>
      <c r="K490" s="5" t="str">
        <f aca="false">IF(OR(F490="",H490="",I490=""),"",IF(D490="Long",(H490-F490)/F490*I490,(F490-H490)/F490*I490))</f>
        <v/>
      </c>
      <c r="L490" s="6" t="str">
        <f aca="false">IF(OR(K490="",J490="",J490=0),"",K490/J490)</f>
        <v/>
      </c>
      <c r="M490" s="3"/>
      <c r="N490" s="3"/>
      <c r="O490" s="3"/>
    </row>
    <row r="491" customFormat="false" ht="15" hidden="false" customHeight="false" outlineLevel="0" collapsed="false">
      <c r="A491" s="2"/>
      <c r="B491" s="3"/>
      <c r="C491" s="3"/>
      <c r="D491" s="3"/>
      <c r="E491" s="3"/>
      <c r="F491" s="4"/>
      <c r="G491" s="4"/>
      <c r="H491" s="4"/>
      <c r="I491" s="4"/>
      <c r="J491" s="4"/>
      <c r="K491" s="5" t="str">
        <f aca="false">IF(OR(F491="",H491="",I491=""),"",IF(D491="Long",(H491-F491)/F491*I491,(F491-H491)/F491*I491))</f>
        <v/>
      </c>
      <c r="L491" s="6" t="str">
        <f aca="false">IF(OR(K491="",J491="",J491=0),"",K491/J491)</f>
        <v/>
      </c>
      <c r="M491" s="3"/>
      <c r="N491" s="3"/>
      <c r="O491" s="3"/>
    </row>
    <row r="492" customFormat="false" ht="15" hidden="false" customHeight="false" outlineLevel="0" collapsed="false">
      <c r="A492" s="2"/>
      <c r="B492" s="3"/>
      <c r="C492" s="3"/>
      <c r="D492" s="3"/>
      <c r="E492" s="3"/>
      <c r="F492" s="4"/>
      <c r="G492" s="4"/>
      <c r="H492" s="4"/>
      <c r="I492" s="4"/>
      <c r="J492" s="4"/>
      <c r="K492" s="5" t="str">
        <f aca="false">IF(OR(F492="",H492="",I492=""),"",IF(D492="Long",(H492-F492)/F492*I492,(F492-H492)/F492*I492))</f>
        <v/>
      </c>
      <c r="L492" s="6" t="str">
        <f aca="false">IF(OR(K492="",J492="",J492=0),"",K492/J492)</f>
        <v/>
      </c>
      <c r="M492" s="3"/>
      <c r="N492" s="3"/>
      <c r="O492" s="3"/>
    </row>
    <row r="493" customFormat="false" ht="15" hidden="false" customHeight="false" outlineLevel="0" collapsed="false">
      <c r="A493" s="2"/>
      <c r="B493" s="3"/>
      <c r="C493" s="3"/>
      <c r="D493" s="3"/>
      <c r="E493" s="3"/>
      <c r="F493" s="4"/>
      <c r="G493" s="4"/>
      <c r="H493" s="4"/>
      <c r="I493" s="4"/>
      <c r="J493" s="4"/>
      <c r="K493" s="5" t="str">
        <f aca="false">IF(OR(F493="",H493="",I493=""),"",IF(D493="Long",(H493-F493)/F493*I493,(F493-H493)/F493*I493))</f>
        <v/>
      </c>
      <c r="L493" s="6" t="str">
        <f aca="false">IF(OR(K493="",J493="",J493=0),"",K493/J493)</f>
        <v/>
      </c>
      <c r="M493" s="3"/>
      <c r="N493" s="3"/>
      <c r="O493" s="3"/>
    </row>
    <row r="494" customFormat="false" ht="15" hidden="false" customHeight="false" outlineLevel="0" collapsed="false">
      <c r="A494" s="2"/>
      <c r="B494" s="3"/>
      <c r="C494" s="3"/>
      <c r="D494" s="3"/>
      <c r="E494" s="3"/>
      <c r="F494" s="4"/>
      <c r="G494" s="4"/>
      <c r="H494" s="4"/>
      <c r="I494" s="4"/>
      <c r="J494" s="4"/>
      <c r="K494" s="5" t="str">
        <f aca="false">IF(OR(F494="",H494="",I494=""),"",IF(D494="Long",(H494-F494)/F494*I494,(F494-H494)/F494*I494))</f>
        <v/>
      </c>
      <c r="L494" s="6" t="str">
        <f aca="false">IF(OR(K494="",J494="",J494=0),"",K494/J494)</f>
        <v/>
      </c>
      <c r="M494" s="3"/>
      <c r="N494" s="3"/>
      <c r="O494" s="3"/>
    </row>
    <row r="495" customFormat="false" ht="15" hidden="false" customHeight="false" outlineLevel="0" collapsed="false">
      <c r="A495" s="2"/>
      <c r="B495" s="3"/>
      <c r="C495" s="3"/>
      <c r="D495" s="3"/>
      <c r="E495" s="3"/>
      <c r="F495" s="4"/>
      <c r="G495" s="4"/>
      <c r="H495" s="4"/>
      <c r="I495" s="4"/>
      <c r="J495" s="4"/>
      <c r="K495" s="5" t="str">
        <f aca="false">IF(OR(F495="",H495="",I495=""),"",IF(D495="Long",(H495-F495)/F495*I495,(F495-H495)/F495*I495))</f>
        <v/>
      </c>
      <c r="L495" s="6" t="str">
        <f aca="false">IF(OR(K495="",J495="",J495=0),"",K495/J495)</f>
        <v/>
      </c>
      <c r="M495" s="3"/>
      <c r="N495" s="3"/>
      <c r="O495" s="3"/>
    </row>
    <row r="496" customFormat="false" ht="15" hidden="false" customHeight="false" outlineLevel="0" collapsed="false">
      <c r="A496" s="2"/>
      <c r="B496" s="3"/>
      <c r="C496" s="3"/>
      <c r="D496" s="3"/>
      <c r="E496" s="3"/>
      <c r="F496" s="4"/>
      <c r="G496" s="4"/>
      <c r="H496" s="4"/>
      <c r="I496" s="4"/>
      <c r="J496" s="4"/>
      <c r="K496" s="5" t="str">
        <f aca="false">IF(OR(F496="",H496="",I496=""),"",IF(D496="Long",(H496-F496)/F496*I496,(F496-H496)/F496*I496))</f>
        <v/>
      </c>
      <c r="L496" s="6" t="str">
        <f aca="false">IF(OR(K496="",J496="",J496=0),"",K496/J496)</f>
        <v/>
      </c>
      <c r="M496" s="3"/>
      <c r="N496" s="3"/>
      <c r="O496" s="3"/>
    </row>
    <row r="497" customFormat="false" ht="15" hidden="false" customHeight="false" outlineLevel="0" collapsed="false">
      <c r="A497" s="2"/>
      <c r="B497" s="3"/>
      <c r="C497" s="3"/>
      <c r="D497" s="3"/>
      <c r="E497" s="3"/>
      <c r="F497" s="4"/>
      <c r="G497" s="4"/>
      <c r="H497" s="4"/>
      <c r="I497" s="4"/>
      <c r="J497" s="4"/>
      <c r="K497" s="5" t="str">
        <f aca="false">IF(OR(F497="",H497="",I497=""),"",IF(D497="Long",(H497-F497)/F497*I497,(F497-H497)/F497*I497))</f>
        <v/>
      </c>
      <c r="L497" s="6" t="str">
        <f aca="false">IF(OR(K497="",J497="",J497=0),"",K497/J497)</f>
        <v/>
      </c>
      <c r="M497" s="3"/>
      <c r="N497" s="3"/>
      <c r="O497" s="3"/>
    </row>
    <row r="498" customFormat="false" ht="15" hidden="false" customHeight="false" outlineLevel="0" collapsed="false">
      <c r="A498" s="2"/>
      <c r="B498" s="3"/>
      <c r="C498" s="3"/>
      <c r="D498" s="3"/>
      <c r="E498" s="3"/>
      <c r="F498" s="4"/>
      <c r="G498" s="4"/>
      <c r="H498" s="4"/>
      <c r="I498" s="4"/>
      <c r="J498" s="4"/>
      <c r="K498" s="5" t="str">
        <f aca="false">IF(OR(F498="",H498="",I498=""),"",IF(D498="Long",(H498-F498)/F498*I498,(F498-H498)/F498*I498))</f>
        <v/>
      </c>
      <c r="L498" s="6" t="str">
        <f aca="false">IF(OR(K498="",J498="",J498=0),"",K498/J498)</f>
        <v/>
      </c>
      <c r="M498" s="3"/>
      <c r="N498" s="3"/>
      <c r="O498" s="3"/>
    </row>
    <row r="499" customFormat="false" ht="15" hidden="false" customHeight="false" outlineLevel="0" collapsed="false">
      <c r="A499" s="2"/>
      <c r="B499" s="3"/>
      <c r="C499" s="3"/>
      <c r="D499" s="3"/>
      <c r="E499" s="3"/>
      <c r="F499" s="4"/>
      <c r="G499" s="4"/>
      <c r="H499" s="4"/>
      <c r="I499" s="4"/>
      <c r="J499" s="4"/>
      <c r="K499" s="5" t="str">
        <f aca="false">IF(OR(F499="",H499="",I499=""),"",IF(D499="Long",(H499-F499)/F499*I499,(F499-H499)/F499*I499))</f>
        <v/>
      </c>
      <c r="L499" s="6" t="str">
        <f aca="false">IF(OR(K499="",J499="",J499=0),"",K499/J499)</f>
        <v/>
      </c>
      <c r="M499" s="3"/>
      <c r="N499" s="3"/>
      <c r="O499" s="3"/>
    </row>
    <row r="500" customFormat="false" ht="15" hidden="false" customHeight="false" outlineLevel="0" collapsed="false">
      <c r="A500" s="2"/>
      <c r="B500" s="3"/>
      <c r="C500" s="3"/>
      <c r="D500" s="3"/>
      <c r="E500" s="3"/>
      <c r="F500" s="4"/>
      <c r="G500" s="4"/>
      <c r="H500" s="4"/>
      <c r="I500" s="4"/>
      <c r="J500" s="4"/>
      <c r="K500" s="5" t="str">
        <f aca="false">IF(OR(F500="",H500="",I500=""),"",IF(D500="Long",(H500-F500)/F500*I500,(F500-H500)/F500*I500))</f>
        <v/>
      </c>
      <c r="L500" s="6" t="str">
        <f aca="false">IF(OR(K500="",J500="",J500=0),"",K500/J500)</f>
        <v/>
      </c>
      <c r="M500" s="3"/>
      <c r="N500" s="3"/>
      <c r="O500" s="3"/>
    </row>
  </sheetData>
  <dataValidations count="5">
    <dataValidation allowBlank="true" errorStyle="stop" operator="between" showDropDown="false" showErrorMessage="false" showInputMessage="false" sqref="B2:B500" type="list">
      <formula1>"L1,L2,S1,S2,FUERA DE PLAYBOOK"</formula1>
      <formula2>0</formula2>
    </dataValidation>
    <dataValidation allowBlank="true" errorStyle="stop" operator="between" showDropDown="false" showErrorMessage="false" showInputMessage="false" sqref="C2:C500" type="list">
      <formula1>"Tendencia fuerte,Rallie de alivio,Distribución,Rango"</formula1>
      <formula2>0</formula2>
    </dataValidation>
    <dataValidation allowBlank="true" errorStyle="stop" operator="between" showDropDown="false" showErrorMessage="false" showInputMessage="false" sqref="D2:D500" type="list">
      <formula1>"Long,Short"</formula1>
      <formula2>0</formula2>
    </dataValidation>
    <dataValidation allowBlank="true" errorStyle="stop" operator="between" showDropDown="false" showErrorMessage="false" showInputMessage="false" sqref="M2:M500" type="list">
      <formula1>"Sí,No"</formula1>
      <formula2>0</formula2>
    </dataValidation>
    <dataValidation allowBlank="true" errorStyle="stop" operator="between" showDropDown="false" showErrorMessage="false" showInputMessage="false" sqref="N2:N500" type="list">
      <formula1>"A,B,C,F"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2"/>
  </cols>
  <sheetData>
    <row r="1" customFormat="false" ht="16.15" hidden="false" customHeight="false" outlineLevel="0" collapsed="false">
      <c r="A1" s="7" t="s">
        <v>15</v>
      </c>
    </row>
    <row r="3" customFormat="false" ht="15" hidden="false" customHeight="false" outlineLevel="0" collapsed="false">
      <c r="A3" s="8" t="s">
        <v>16</v>
      </c>
      <c r="B3" s="9" t="n">
        <f aca="false">COUNTA(Trades!A2:A500)</f>
        <v>0</v>
      </c>
    </row>
    <row r="4" customFormat="false" ht="15" hidden="false" customHeight="false" outlineLevel="0" collapsed="false">
      <c r="A4" s="8" t="s">
        <v>17</v>
      </c>
      <c r="B4" s="10" t="str">
        <f aca="false">IFERROR(COUNTIF(Trades!K2:K500,"&gt;0")/COUNT(Trades!K2:K500),"-")</f>
        <v>-</v>
      </c>
    </row>
    <row r="5" customFormat="false" ht="15" hidden="false" customHeight="false" outlineLevel="0" collapsed="false">
      <c r="A5" s="8" t="s">
        <v>18</v>
      </c>
      <c r="B5" s="9" t="str">
        <f aca="false">IFERROR(AVERAGE(Trades!L2:L500),"-")</f>
        <v>-</v>
      </c>
    </row>
    <row r="6" customFormat="false" ht="15" hidden="false" customHeight="false" outlineLevel="0" collapsed="false">
      <c r="A6" s="8" t="s">
        <v>19</v>
      </c>
      <c r="B6" s="9" t="n">
        <f aca="false">IFERROR(SUM(Trades!L2:L500),"-")</f>
        <v>0</v>
      </c>
    </row>
    <row r="7" customFormat="false" ht="15" hidden="false" customHeight="false" outlineLevel="0" collapsed="false">
      <c r="A7" s="8" t="s">
        <v>20</v>
      </c>
      <c r="B7" s="11" t="n">
        <f aca="false">IFERROR(SUM(Trades!K2:K500),"-")</f>
        <v>0</v>
      </c>
    </row>
    <row r="8" customFormat="false" ht="15" hidden="false" customHeight="false" outlineLevel="0" collapsed="false">
      <c r="A8" s="8" t="s">
        <v>21</v>
      </c>
      <c r="B8" s="10" t="str">
        <f aca="false">IFERROR((COUNTA(Trades!B2:B500)-COUNTIF(Trades!B2:B500,"FUERA DE PLAYBOOK"))/COUNTA(Trades!B2:B500),"-")</f>
        <v>-</v>
      </c>
    </row>
    <row r="9" customFormat="false" ht="15" hidden="false" customHeight="false" outlineLevel="0" collapsed="false">
      <c r="A9" s="8" t="s">
        <v>22</v>
      </c>
      <c r="B9" s="10" t="str">
        <f aca="false">IFERROR(COUNTIF(Trades!M2:M500,"Sí")/COUNTA(Trades!M2:M500),"-")</f>
        <v>-</v>
      </c>
    </row>
    <row r="10" customFormat="false" ht="15" hidden="false" customHeight="false" outlineLevel="0" collapsed="false">
      <c r="A10" s="8" t="s">
        <v>23</v>
      </c>
      <c r="B10" s="9" t="n">
        <f aca="false">IFERROR(MAX(Trades!L2:L500),"-")</f>
        <v>0</v>
      </c>
    </row>
    <row r="11" customFormat="false" ht="15" hidden="false" customHeight="false" outlineLevel="0" collapsed="false">
      <c r="A11" s="8" t="s">
        <v>24</v>
      </c>
      <c r="B11" s="9" t="n">
        <f aca="false">IFERROR(MIN(Trades!L2:L500),"-")</f>
        <v>0</v>
      </c>
    </row>
    <row r="13" customFormat="false" ht="15" hidden="false" customHeight="false" outlineLevel="0" collapsed="false">
      <c r="A13" s="12" t="s">
        <v>25</v>
      </c>
    </row>
    <row r="14" customFormat="false" ht="15" hidden="false" customHeight="false" outlineLevel="0" collapsed="false">
      <c r="A14" s="13" t="s">
        <v>1</v>
      </c>
      <c r="B14" s="13" t="s">
        <v>26</v>
      </c>
      <c r="C14" s="13" t="s">
        <v>17</v>
      </c>
      <c r="D14" s="13" t="s">
        <v>18</v>
      </c>
      <c r="E14" s="13" t="s">
        <v>19</v>
      </c>
    </row>
    <row r="15" customFormat="false" ht="15" hidden="false" customHeight="false" outlineLevel="0" collapsed="false">
      <c r="A15" s="8" t="s">
        <v>27</v>
      </c>
      <c r="B15" s="14" t="n">
        <f aca="false">COUNTIF(Trades!B2:B500,A15)</f>
        <v>0</v>
      </c>
      <c r="C15" s="10" t="str">
        <f aca="false">IFERROR(COUNTIFS(Trades!B2:B500,A15,Trades!K2:K500,"&gt;0")/COUNTIFS(Trades!B2:B500,A15,Trades!K2:K500,"&lt;&gt;"),"-")</f>
        <v>-</v>
      </c>
      <c r="D15" s="9" t="str">
        <f aca="false">IFERROR(AVERAGEIF(Trades!B2:B500,A15,Trades!L2:L500),"-")</f>
        <v>-</v>
      </c>
      <c r="E15" s="9" t="n">
        <f aca="false">IFERROR(SUMIF(Trades!B2:B500,A15,Trades!L2:L500),"-")</f>
        <v>0</v>
      </c>
    </row>
    <row r="16" customFormat="false" ht="15" hidden="false" customHeight="false" outlineLevel="0" collapsed="false">
      <c r="A16" s="8" t="s">
        <v>28</v>
      </c>
      <c r="B16" s="14" t="n">
        <f aca="false">COUNTIF(Trades!B2:B500,A16)</f>
        <v>0</v>
      </c>
      <c r="C16" s="10" t="str">
        <f aca="false">IFERROR(COUNTIFS(Trades!B2:B500,A16,Trades!K2:K500,"&gt;0")/COUNTIFS(Trades!B2:B500,A16,Trades!K2:K500,"&lt;&gt;"),"-")</f>
        <v>-</v>
      </c>
      <c r="D16" s="9" t="str">
        <f aca="false">IFERROR(AVERAGEIF(Trades!B2:B500,A16,Trades!L2:L500),"-")</f>
        <v>-</v>
      </c>
      <c r="E16" s="9" t="n">
        <f aca="false">IFERROR(SUMIF(Trades!B2:B500,A16,Trades!L2:L500),"-")</f>
        <v>0</v>
      </c>
    </row>
    <row r="17" customFormat="false" ht="15" hidden="false" customHeight="false" outlineLevel="0" collapsed="false">
      <c r="A17" s="8" t="s">
        <v>29</v>
      </c>
      <c r="B17" s="14" t="n">
        <f aca="false">COUNTIF(Trades!B2:B500,A17)</f>
        <v>0</v>
      </c>
      <c r="C17" s="10" t="str">
        <f aca="false">IFERROR(COUNTIFS(Trades!B2:B500,A17,Trades!K2:K500,"&gt;0")/COUNTIFS(Trades!B2:B500,A17,Trades!K2:K500,"&lt;&gt;"),"-")</f>
        <v>-</v>
      </c>
      <c r="D17" s="9" t="str">
        <f aca="false">IFERROR(AVERAGEIF(Trades!B2:B500,A17,Trades!L2:L500),"-")</f>
        <v>-</v>
      </c>
      <c r="E17" s="9" t="n">
        <f aca="false">IFERROR(SUMIF(Trades!B2:B500,A17,Trades!L2:L500),"-")</f>
        <v>0</v>
      </c>
    </row>
    <row r="18" customFormat="false" ht="15" hidden="false" customHeight="false" outlineLevel="0" collapsed="false">
      <c r="A18" s="8" t="s">
        <v>30</v>
      </c>
      <c r="B18" s="14" t="n">
        <f aca="false">COUNTIF(Trades!B2:B500,A18)</f>
        <v>0</v>
      </c>
      <c r="C18" s="10" t="str">
        <f aca="false">IFERROR(COUNTIFS(Trades!B2:B500,A18,Trades!K2:K500,"&gt;0")/COUNTIFS(Trades!B2:B500,A18,Trades!K2:K500,"&lt;&gt;"),"-")</f>
        <v>-</v>
      </c>
      <c r="D18" s="9" t="str">
        <f aca="false">IFERROR(AVERAGEIF(Trades!B2:B500,A18,Trades!L2:L500),"-")</f>
        <v>-</v>
      </c>
      <c r="E18" s="9" t="n">
        <f aca="false">IFERROR(SUMIF(Trades!B2:B500,A18,Trades!L2:L500),"-")</f>
        <v>0</v>
      </c>
    </row>
    <row r="19" customFormat="false" ht="15" hidden="false" customHeight="false" outlineLevel="0" collapsed="false">
      <c r="A19" s="8" t="s">
        <v>31</v>
      </c>
      <c r="B19" s="14" t="n">
        <f aca="false">COUNTIF(Trades!B2:B500,A19)</f>
        <v>0</v>
      </c>
      <c r="C19" s="10" t="str">
        <f aca="false">IFERROR(COUNTIFS(Trades!B2:B500,A19,Trades!K2:K500,"&gt;0")/COUNTIFS(Trades!B2:B500,A19,Trades!K2:K500,"&lt;&gt;"),"-")</f>
        <v>-</v>
      </c>
      <c r="D19" s="9" t="str">
        <f aca="false">IFERROR(AVERAGEIF(Trades!B2:B500,A19,Trades!L2:L500),"-")</f>
        <v>-</v>
      </c>
      <c r="E19" s="9" t="n">
        <f aca="false">IFERROR(SUMIF(Trades!B2:B500,A19,Trades!L2:L500),"-")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8" t="s">
        <v>32</v>
      </c>
      <c r="B1" s="15"/>
    </row>
    <row r="2" customFormat="false" ht="15" hidden="false" customHeight="false" outlineLevel="0" collapsed="false">
      <c r="A2" s="8"/>
      <c r="B2" s="15"/>
    </row>
    <row r="3" customFormat="false" ht="15" hidden="false" customHeight="false" outlineLevel="0" collapsed="false">
      <c r="A3" s="8" t="s">
        <v>33</v>
      </c>
      <c r="B3" s="15" t="s">
        <v>34</v>
      </c>
    </row>
    <row r="4" customFormat="false" ht="15" hidden="false" customHeight="false" outlineLevel="0" collapsed="false">
      <c r="A4" s="8" t="s">
        <v>35</v>
      </c>
      <c r="B4" s="15" t="s">
        <v>36</v>
      </c>
    </row>
    <row r="5" customFormat="false" ht="23.85" hidden="false" customHeight="false" outlineLevel="0" collapsed="false">
      <c r="A5" s="8" t="s">
        <v>37</v>
      </c>
      <c r="B5" s="15" t="s">
        <v>38</v>
      </c>
    </row>
    <row r="6" customFormat="false" ht="23.85" hidden="false" customHeight="false" outlineLevel="0" collapsed="false">
      <c r="A6" s="8" t="s">
        <v>39</v>
      </c>
      <c r="B6" s="15" t="s">
        <v>40</v>
      </c>
    </row>
    <row r="7" customFormat="false" ht="15" hidden="false" customHeight="false" outlineLevel="0" collapsed="false">
      <c r="A7" s="8" t="s">
        <v>41</v>
      </c>
      <c r="B7" s="15" t="s">
        <v>42</v>
      </c>
    </row>
    <row r="8" customFormat="false" ht="15" hidden="false" customHeight="false" outlineLevel="0" collapsed="false">
      <c r="A8" s="8" t="s">
        <v>43</v>
      </c>
      <c r="B8" s="15" t="s">
        <v>44</v>
      </c>
    </row>
    <row r="9" customFormat="false" ht="15" hidden="false" customHeight="false" outlineLevel="0" collapsed="false">
      <c r="A9" s="8"/>
      <c r="B9" s="15"/>
    </row>
    <row r="10" customFormat="false" ht="15" hidden="false" customHeight="false" outlineLevel="0" collapsed="false">
      <c r="A10" s="8" t="s">
        <v>45</v>
      </c>
      <c r="B10" s="1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2026-07-10T18:59:14Z</dcterms:created>
  <dc:creator>openpyxl</dc:creator>
  <dc:description/>
  <dc:language>en-US</dc:language>
  <cp:lastModifiedBy/>
  <dcterms:modified xsi:type="dcterms:W3CDTF">2026-07-10T18:59:15Z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